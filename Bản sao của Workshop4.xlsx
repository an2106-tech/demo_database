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s4_Sprint Backlog" sheetId="1" r:id="rId4"/>
    <sheet state="visible" name="Ws4_Story Point Sprint" sheetId="2" r:id="rId5"/>
    <sheet state="visible" name="Ws4_Product Vision" sheetId="3" r:id="rId6"/>
    <sheet state="visible" name="Ws4_DailyMeeting" sheetId="4" r:id="rId7"/>
    <sheet state="visible" name="Ws4_Report" sheetId="5" r:id="rId8"/>
  </sheets>
  <definedNames/>
  <calcPr/>
  <extLst>
    <ext uri="GoogleSheetsCustomDataVersion2">
      <go:sheetsCustomData xmlns:go="http://customooxmlschemas.google.com/" r:id="rId9" roundtripDataChecksum="LQaiu2znaPksWYvvRi3gj9BVG/NHyB4NvlcBq/Dh67s="/>
    </ext>
  </extLst>
</workbook>
</file>

<file path=xl/sharedStrings.xml><?xml version="1.0" encoding="utf-8"?>
<sst xmlns="http://schemas.openxmlformats.org/spreadsheetml/2006/main" count="849" uniqueCount="414">
  <si>
    <t xml:space="preserve"> </t>
  </si>
  <si>
    <t>Mục tiêu sản phẩm 1: Ra mắt hệ thống quản lý tuyển dụng &amp; ứng viên cho doanh nghiệp</t>
  </si>
  <si>
    <t>Task ID</t>
  </si>
  <si>
    <t>Task</t>
  </si>
  <si>
    <t>Description</t>
  </si>
  <si>
    <t>Story ID</t>
  </si>
  <si>
    <t>Backlog ID</t>
  </si>
  <si>
    <t>Sprint#</t>
  </si>
  <si>
    <t>State</t>
  </si>
  <si>
    <t>Estimate Time
(Hours)</t>
  </si>
  <si>
    <t>Assign to</t>
  </si>
  <si>
    <t>Note</t>
  </si>
  <si>
    <t>Mục tiêu Sprint 1: Hoàn thành các chức năng cơ bản</t>
  </si>
  <si>
    <t>T01</t>
  </si>
  <si>
    <t>Đăng nhập</t>
  </si>
  <si>
    <t>Xây dựng chức năng đăng nhập cho nhà tuyển dụng</t>
  </si>
  <si>
    <t>RQ01</t>
  </si>
  <si>
    <t>New</t>
  </si>
  <si>
    <t>Quang Đồng</t>
  </si>
  <si>
    <t>T02</t>
  </si>
  <si>
    <t>Tạo tin tuyển dụng</t>
  </si>
  <si>
    <t>Cho phép nhà tuyển dụng tạo tin tuyển dụng</t>
  </si>
  <si>
    <t>RQ04</t>
  </si>
  <si>
    <t>Anh Tú</t>
  </si>
  <si>
    <t>T03</t>
  </si>
  <si>
    <t>Kích hoạt tin tuyển</t>
  </si>
  <si>
    <t>Đặt trạng thái: hiện để hiển thị lên hệ thống</t>
  </si>
  <si>
    <t>RQ24</t>
  </si>
  <si>
    <t>Chí Hào</t>
  </si>
  <si>
    <t>T04</t>
  </si>
  <si>
    <t>Xem danh sách tin tuyển dụng</t>
  </si>
  <si>
    <t>Ứng viên có thể xem danh sách tin tuyển dụng</t>
  </si>
  <si>
    <t>RQ03</t>
  </si>
  <si>
    <t>T05</t>
  </si>
  <si>
    <t>Xem chi tiết tin tuyển dụng</t>
  </si>
  <si>
    <t>Hiển thị chi tiết nội dung tin tuyển dụng</t>
  </si>
  <si>
    <t>RQ08</t>
  </si>
  <si>
    <t>Trọng An</t>
  </si>
  <si>
    <t>T06</t>
  </si>
  <si>
    <t xml:space="preserve">Ứng tuyển </t>
  </si>
  <si>
    <t>Ứng viên nộp đơn ứng tuyển công việc (không cần đăng nhập; form + tải lên CV)</t>
  </si>
  <si>
    <t>RQ09</t>
  </si>
  <si>
    <t xml:space="preserve"> Mục tiêu Sprint 2: Các tính năng quản lý ứng viên</t>
  </si>
  <si>
    <t>T07</t>
  </si>
  <si>
    <t>Đăng ký tài khoản</t>
  </si>
  <si>
    <t>Ứng viên đăng ký tài khoản hệ thống</t>
  </si>
  <si>
    <t>RQ32</t>
  </si>
  <si>
    <t>Kim Anh</t>
  </si>
  <si>
    <t>T08</t>
  </si>
  <si>
    <t>Cập nhật hồ sơ</t>
  </si>
  <si>
    <t>Cập nhật thông tin hồ sơ ứng viên (thông tin cá nhân)</t>
  </si>
  <si>
    <t>RQ33</t>
  </si>
  <si>
    <t>T09</t>
  </si>
  <si>
    <t>Xem hồ sơ</t>
  </si>
  <si>
    <t>Hiển thị thông tin hồ sơ ứng viên</t>
  </si>
  <si>
    <t>RQ11</t>
  </si>
  <si>
    <t>T10</t>
  </si>
  <si>
    <t>Tải lên CV</t>
  </si>
  <si>
    <t>Upload và lưu trữ file CV</t>
  </si>
  <si>
    <t>RQ37</t>
  </si>
  <si>
    <t>T11</t>
  </si>
  <si>
    <t>Xem danh sách ứng tuyển</t>
  </si>
  <si>
    <t>Xem các công việc đã ứng tuyển</t>
  </si>
  <si>
    <t>RQ15</t>
  </si>
  <si>
    <t>T12</t>
  </si>
  <si>
    <t>Hủy ứng tuyển</t>
  </si>
  <si>
    <t>Hủy đơn ứng tuyển đã gửi</t>
  </si>
  <si>
    <t>RQ34</t>
  </si>
  <si>
    <t>T13</t>
  </si>
  <si>
    <t>Tìm kiếm việc làm</t>
  </si>
  <si>
    <t>Tìm job theo từ khóa</t>
  </si>
  <si>
    <t>RQ07</t>
  </si>
  <si>
    <t>T14</t>
  </si>
  <si>
    <t>Lọc việc làm</t>
  </si>
  <si>
    <t>Lọc job theo tiêu chí (địa điểm, lương,...)</t>
  </si>
  <si>
    <t>T15</t>
  </si>
  <si>
    <t>Đổi mật khẩu</t>
  </si>
  <si>
    <t>Thay đổi mật khẩu tài khoản</t>
  </si>
  <si>
    <t>RQ27</t>
  </si>
  <si>
    <t>Mục tiêu Sprint 3: Quản lý quy trình tuyển dụng</t>
  </si>
  <si>
    <t>T16</t>
  </si>
  <si>
    <t xml:space="preserve">Xem danh sách ứng viên </t>
  </si>
  <si>
    <t>Xem ứng viên theo từng tin tuyển dụng</t>
  </si>
  <si>
    <t>RQ10</t>
  </si>
  <si>
    <t>T17</t>
  </si>
  <si>
    <t>Cập nhật trạng thái ứng viên</t>
  </si>
  <si>
    <t>Cập nhật trạng thái(applied,interview,offer)</t>
  </si>
  <si>
    <t>RQ12</t>
  </si>
  <si>
    <t>T18</t>
  </si>
  <si>
    <t>Lên lịch phỏng vấn</t>
  </si>
  <si>
    <t>Tạo lịch phỏng vấn cho ứng viên</t>
  </si>
  <si>
    <t>RQ13</t>
  </si>
  <si>
    <t>T19</t>
  </si>
  <si>
    <t xml:space="preserve">Gửi thông báo </t>
  </si>
  <si>
    <t>Gửi Email/thông báo cho ứng viên</t>
  </si>
  <si>
    <t>RQ17</t>
  </si>
  <si>
    <t>T20</t>
  </si>
  <si>
    <t>Bảng thống kê tuyển dụng</t>
  </si>
  <si>
    <t>Thống kê số lượng tin tuyển dụng và ứng viên ứng tuyển</t>
  </si>
  <si>
    <t>RQ16</t>
  </si>
  <si>
    <t>T21</t>
  </si>
  <si>
    <t>Ghi chú ứng viên</t>
  </si>
  <si>
    <t>Lưu ghi chú khi đánh giá ứng viên</t>
  </si>
  <si>
    <t>RQ14</t>
  </si>
  <si>
    <t>T22</t>
  </si>
  <si>
    <t>Lọc ứng viên</t>
  </si>
  <si>
    <t>Lọc danh sách ứng viên theo trạng thái</t>
  </si>
  <si>
    <t>RQ35</t>
  </si>
  <si>
    <t>T23</t>
  </si>
  <si>
    <t>Quản trị viên xem danh sách tất cả tin tuyển dụng</t>
  </si>
  <si>
    <t>RQ23</t>
  </si>
  <si>
    <t>T24</t>
  </si>
  <si>
    <t>Cập nhật tin tuyển dụng</t>
  </si>
  <si>
    <t>Chỉnh sửa nội dung bài đăng tuyển dụng</t>
  </si>
  <si>
    <t>RQ05</t>
  </si>
  <si>
    <t>T25</t>
  </si>
  <si>
    <t>Xóa tin tuyển dụng</t>
  </si>
  <si>
    <t>Xóa bài đăng hoặc ẩn tin tuyển dụng</t>
  </si>
  <si>
    <t>RQ36</t>
  </si>
  <si>
    <t>T26</t>
  </si>
  <si>
    <t>Trạng thái tin tuyển</t>
  </si>
  <si>
    <t>Cập nhật trạng thái hiển thị tin (ẩn/hiện)</t>
  </si>
  <si>
    <t>RQ06</t>
  </si>
  <si>
    <t>Mục tiêu Sprint 4: Hoàn thiện hệ thống</t>
  </si>
  <si>
    <t>T27</t>
  </si>
  <si>
    <t xml:space="preserve">Tạo người dùng </t>
  </si>
  <si>
    <t>Quản trị viên tạo tài khoản người dùng</t>
  </si>
  <si>
    <t>RQ18</t>
  </si>
  <si>
    <t>T28</t>
  </si>
  <si>
    <t>Cập nhật người dùng</t>
  </si>
  <si>
    <t>Chỉnh sửa thông tin tài khoản người dùng</t>
  </si>
  <si>
    <t>RQ19</t>
  </si>
  <si>
    <t>T29</t>
  </si>
  <si>
    <t>Xóa người dùng</t>
  </si>
  <si>
    <t>Xóa thông ti tài khoản người dùng</t>
  </si>
  <si>
    <t>RQ20</t>
  </si>
  <si>
    <t>T30</t>
  </si>
  <si>
    <t>Xem danh sách người dùng</t>
  </si>
  <si>
    <t xml:space="preserve">Hiển thị danh sách người dùng </t>
  </si>
  <si>
    <t>RQ28</t>
  </si>
  <si>
    <t>T31</t>
  </si>
  <si>
    <t>Thay đổi trạng thái người dùng</t>
  </si>
  <si>
    <t>Khóa/mở tài khoản</t>
  </si>
  <si>
    <t>RQ30</t>
  </si>
  <si>
    <t>T32</t>
  </si>
  <si>
    <t>Phân quyền người dùng</t>
  </si>
  <si>
    <t>Phân quyền theo role (HR, Director, PM)</t>
  </si>
  <si>
    <t>RQ21</t>
  </si>
  <si>
    <t>T33</t>
  </si>
  <si>
    <t xml:space="preserve">Bảng điều khiển </t>
  </si>
  <si>
    <t>Thống kê tổng quan hệ thống</t>
  </si>
  <si>
    <t>RQ22</t>
  </si>
  <si>
    <t>T34</t>
  </si>
  <si>
    <t>Log hoạt động</t>
  </si>
  <si>
    <t>Lưu lại lịch sử thao tác người dùng</t>
  </si>
  <si>
    <t>RQ31</t>
  </si>
  <si>
    <t>Mục tiêu sản phẩm 2: Phát triển, nâng cao hệ thống, tự động hóa quy trình tuyển dụng và thuận tiện cho người dùng</t>
  </si>
  <si>
    <t>Mục tiêu Sprint 1: Các tính năng nâng cao trải nghiệm người dùng</t>
  </si>
  <si>
    <t xml:space="preserve"> Mục tiêu Sprint 1: Tự động hóa quy trình tuyển dụng</t>
  </si>
  <si>
    <t>Hồ sơ ứng viên</t>
  </si>
  <si>
    <t>Cập nhật thông tin cá nhân ứng viên</t>
  </si>
  <si>
    <t>Mục tiêu Sprint 3: Bảng điều khiển nâng cao</t>
  </si>
  <si>
    <t>Dashboard tuyển dịng</t>
  </si>
  <si>
    <t>Thống kê số lượng job và ứng viên</t>
  </si>
  <si>
    <t>Danh sách tin (admin)</t>
  </si>
  <si>
    <t>Xem danh sách tất cả tin tuyển dụng</t>
  </si>
  <si>
    <t>Cập nhật trạng thái hiển thị tin</t>
  </si>
  <si>
    <t>Mục tiêu Sprint 4: Mở rộng &amp; tích hợp hệ thống</t>
  </si>
  <si>
    <t>Admin tạo tài khoản người dùng</t>
  </si>
  <si>
    <t>Xóa thông tin tài khoản người dùng</t>
  </si>
  <si>
    <t>Phân quyền theo role(HR, Director, PM)</t>
  </si>
  <si>
    <t>Đặc Điểm</t>
  </si>
  <si>
    <t>Tổng UP
 (Điểm Chưa
Hiệu Chỉnh)</t>
  </si>
  <si>
    <t>Hệ Số
Nhân
 (C)</t>
  </si>
  <si>
    <t>AP(Điểm
 Đã Hiệu
Chỉnh)</t>
  </si>
  <si>
    <t>ED (Khía
 Cạnh Môi
Trường)</t>
  </si>
  <si>
    <t>PPS(=
(AP*ED)/36)</t>
  </si>
  <si>
    <t>Khía cạnh môi trường ED</t>
  </si>
  <si>
    <t>Loại Tương
Tác</t>
  </si>
  <si>
    <t>Quy Tắc
Nghiệp Vụ</t>
  </si>
  <si>
    <t>Thực Thể</t>
  </si>
  <si>
    <t>Loại Thao
Tác Dữ Liệu</t>
  </si>
  <si>
    <t>Khía cạnh tổ chức</t>
  </si>
  <si>
    <t>Sprint 1</t>
  </si>
  <si>
    <t>Yếu tố</t>
  </si>
  <si>
    <t>Khoảng giá trị</t>
  </si>
  <si>
    <t xml:space="preserve">1. </t>
  </si>
  <si>
    <t>2.</t>
  </si>
  <si>
    <t>Kích hoạt tin tuyển dụng</t>
  </si>
  <si>
    <t>3.</t>
  </si>
  <si>
    <t>Tổng:</t>
  </si>
  <si>
    <t>Ứng tuyển</t>
  </si>
  <si>
    <t>Khía cạnh hạ tầng phát triển</t>
  </si>
  <si>
    <t>Tổng</t>
  </si>
  <si>
    <t>Sprint 2</t>
  </si>
  <si>
    <t>Mục tiêu Sprint 2: Quản lý ứng viên</t>
  </si>
  <si>
    <t xml:space="preserve">Tổng: </t>
  </si>
  <si>
    <t>Khía cạnh nhóm</t>
  </si>
  <si>
    <t>Sprint 3</t>
  </si>
  <si>
    <t>Khía cạnh công nghệ</t>
  </si>
  <si>
    <t>Cập nhật trạng thái tin tuyển dụng</t>
  </si>
  <si>
    <t>Sprint 4</t>
  </si>
  <si>
    <t>Khía cạnh quy trình</t>
  </si>
  <si>
    <t>Khía cạnh nghiệp vụ</t>
  </si>
  <si>
    <t>Tối ưu  giao diện</t>
  </si>
  <si>
    <t>Tìm kiếm nâng cao</t>
  </si>
  <si>
    <t>Cập nhật giao diện hệ thống</t>
  </si>
  <si>
    <t>Tổng điểm ED:</t>
  </si>
  <si>
    <t>C= 1</t>
  </si>
  <si>
    <t>Tối ưu hóa truy vấn</t>
  </si>
  <si>
    <t>Đồng bộ hóa dữ liệu</t>
  </si>
  <si>
    <t xml:space="preserve">Mục tiêu Sprint 2: Tự động hóa quy trình tuyển dụng </t>
  </si>
  <si>
    <t>Lọc hồ sơ ứng viên</t>
  </si>
  <si>
    <t>Gửi email tự động</t>
  </si>
  <si>
    <t>Thiết lập workflow tuyển dụng</t>
  </si>
  <si>
    <t>Quản lý trạng thái ứng viên</t>
  </si>
  <si>
    <t>Tự động gợi ý công việc</t>
  </si>
  <si>
    <t>Phân tích hiệu quả tuyển dụng</t>
  </si>
  <si>
    <t>Theo dõi hành vi người dùng</t>
  </si>
  <si>
    <t>Thống kê &amp; báo cáo dữ liệu</t>
  </si>
  <si>
    <t>Dashboard trực quan (biểu đồ)</t>
  </si>
  <si>
    <t xml:space="preserve">Mục tiêu Sprint 4: Mở rộng &amp; tích hợp hệ thống </t>
  </si>
  <si>
    <t>Tích hợp API</t>
  </si>
  <si>
    <t>Đa nền tảng</t>
  </si>
  <si>
    <t>Tối ưu hiệu năng hệ thống</t>
  </si>
  <si>
    <t>Bảo mật hệ thống</t>
  </si>
  <si>
    <t>Product Vision (Ghi mục tiêu)</t>
  </si>
  <si>
    <t xml:space="preserve">Trở thành hệ thống quản lý tuyển dụng &amp; ứng viên được tin dùng </t>
  </si>
  <si>
    <t>Product Goals (Thực hiện bao lâu - 4 tháng)</t>
  </si>
  <si>
    <r>
      <rPr>
        <rFont val="Times New Roman"/>
        <b/>
        <color rgb="FFFF0000"/>
        <sz val="12.0"/>
      </rPr>
      <t xml:space="preserve"> - Mục tiêu sản phẩm 1:</t>
    </r>
    <r>
      <rPr>
        <rFont val="Times New Roman"/>
        <b/>
        <color rgb="FF000000"/>
        <sz val="12.0"/>
      </rPr>
      <t xml:space="preserve"> Ra mắt hệ thống quản lý tuyển dụng &amp; ứng viên cho doanh nghiệp.
</t>
    </r>
    <r>
      <rPr>
        <rFont val="Times New Roman"/>
        <b/>
        <color rgb="FFFF0000"/>
        <sz val="12.0"/>
      </rPr>
      <t xml:space="preserve"> - Mục tiêu sản phẩm 2: </t>
    </r>
    <r>
      <rPr>
        <rFont val="Times New Roman"/>
        <b/>
        <color rgb="FF000000"/>
        <sz val="12.0"/>
      </rPr>
      <t>Phát triển, nâng cao hệ thống, tự động hóa quy trình tuyển dụng và thuận tiện cho người dùng</t>
    </r>
  </si>
  <si>
    <t>Sprint Goals (Sprint tổ chức bao nhiêu tuần - 1 sprint 14 ngày)</t>
  </si>
  <si>
    <r>
      <rPr>
        <rFont val="Times New Roman"/>
        <b/>
        <color rgb="FFFF0000"/>
        <sz val="12.0"/>
      </rPr>
      <t xml:space="preserve">Mục tiêu sản phẩm 1: </t>
    </r>
    <r>
      <rPr>
        <rFont val="Times New Roman"/>
        <b/>
        <color rgb="FF000000"/>
        <sz val="12.0"/>
      </rPr>
      <t>Ra mắt hệ thống quản lý tuyển dụng &amp; ứng viên cho doanh nghiệp.</t>
    </r>
    <r>
      <rPr>
        <rFont val="Times New Roman"/>
        <b/>
        <color rgb="FFFF0000"/>
        <sz val="12.0"/>
      </rPr>
      <t xml:space="preserve">
</t>
    </r>
    <r>
      <rPr>
        <rFont val="Times New Roman"/>
        <b/>
        <color rgb="FF4A86E8"/>
        <sz val="12.0"/>
      </rPr>
      <t xml:space="preserve">      Mục tiêu Sprint 1: </t>
    </r>
    <r>
      <rPr>
        <rFont val="Times New Roman"/>
        <b/>
        <color rgb="FF000000"/>
        <sz val="12.0"/>
      </rPr>
      <t xml:space="preserve">Các tính năng cơ bản hệ thống </t>
    </r>
    <r>
      <rPr>
        <rFont val="Times New Roman"/>
        <b/>
        <color rgb="FFFF0000"/>
        <sz val="12.0"/>
      </rPr>
      <t>(</t>
    </r>
    <r>
      <rPr>
        <rFont val="Times New Roman"/>
        <b/>
        <color rgb="FF000000"/>
        <sz val="12.0"/>
      </rPr>
      <t>tạo, duyệt tin tuyển dụng, hiển thị danh sách việc làm, ứng tuyển công việc</t>
    </r>
    <r>
      <rPr>
        <rFont val="Times New Roman"/>
        <b/>
        <color rgb="FFFF0000"/>
        <sz val="12.0"/>
      </rPr>
      <t xml:space="preserve">)
      </t>
    </r>
    <r>
      <rPr>
        <rFont val="Times New Roman"/>
        <b/>
        <color rgb="FF4A86E8"/>
        <sz val="12.0"/>
      </rPr>
      <t>Mục tiêu Sprint 2:</t>
    </r>
    <r>
      <rPr>
        <rFont val="Times New Roman"/>
        <b/>
        <color rgb="FFFF0000"/>
        <sz val="12.0"/>
      </rPr>
      <t xml:space="preserve"> </t>
    </r>
    <r>
      <rPr>
        <rFont val="Times New Roman"/>
        <b/>
        <color rgb="FF000000"/>
        <sz val="12.0"/>
      </rPr>
      <t xml:space="preserve">Các tính năng quản lý ứng viên </t>
    </r>
    <r>
      <rPr>
        <rFont val="Times New Roman"/>
        <b/>
        <color rgb="FFFF0000"/>
        <sz val="12.0"/>
      </rPr>
      <t>(</t>
    </r>
    <r>
      <rPr>
        <rFont val="Times New Roman"/>
        <b/>
        <color rgb="FF000000"/>
        <sz val="12.0"/>
      </rPr>
      <t>đăng ký, quản lý hồ sơ, xem danh sách công việc đã ứng tuyển, tải lên CV, tìm kiếm &amp; lọc</t>
    </r>
    <r>
      <rPr>
        <rFont val="Times New Roman"/>
        <b/>
        <color rgb="FFFF0000"/>
        <sz val="12.0"/>
      </rPr>
      <t xml:space="preserve">)
</t>
    </r>
    <r>
      <rPr>
        <rFont val="Times New Roman"/>
        <b/>
        <color rgb="FF4A86E8"/>
        <sz val="12.0"/>
      </rPr>
      <t xml:space="preserve">      Mục tiêu Sprint 3: </t>
    </r>
    <r>
      <rPr>
        <rFont val="Times New Roman"/>
        <b/>
        <color rgb="FF000000"/>
        <sz val="12.0"/>
      </rPr>
      <t xml:space="preserve">Các tính năng đáp ứng quy trình tuyển dụng </t>
    </r>
    <r>
      <rPr>
        <rFont val="Times New Roman"/>
        <b/>
        <color rgb="FFFF0000"/>
        <sz val="12.0"/>
      </rPr>
      <t>(</t>
    </r>
    <r>
      <rPr>
        <rFont val="Times New Roman"/>
        <b/>
        <color rgb="FF000000"/>
        <sz val="12.0"/>
      </rPr>
      <t>cập nhật trạng thái, lên lịch, gửi thông báo, bảng điều khiển quản lý</t>
    </r>
    <r>
      <rPr>
        <rFont val="Times New Roman"/>
        <b/>
        <color rgb="FFFF0000"/>
        <sz val="12.0"/>
      </rPr>
      <t>)</t>
    </r>
    <r>
      <rPr>
        <rFont val="Times New Roman"/>
        <b/>
        <color rgb="FF000000"/>
        <sz val="12.0"/>
      </rPr>
      <t xml:space="preserve">
      </t>
    </r>
    <r>
      <rPr>
        <rFont val="Times New Roman"/>
        <b/>
        <color rgb="FF548DD4"/>
        <sz val="12.0"/>
      </rPr>
      <t>Mục tiêu Sprint 4:</t>
    </r>
    <r>
      <rPr>
        <rFont val="Times New Roman"/>
        <b/>
        <color rgb="FF000000"/>
        <sz val="12.0"/>
      </rPr>
      <t xml:space="preserve"> Hoàn thiện hệ thống phía quản trị</t>
    </r>
    <r>
      <rPr>
        <rFont val="Times New Roman"/>
        <b/>
        <color rgb="FFFF0000"/>
        <sz val="12.0"/>
      </rPr>
      <t xml:space="preserve"> (</t>
    </r>
    <r>
      <rPr>
        <rFont val="Times New Roman"/>
        <b/>
        <color rgb="FF000000"/>
        <sz val="12.0"/>
      </rPr>
      <t>phân quyền, thống kê</t>
    </r>
    <r>
      <rPr>
        <rFont val="Times New Roman"/>
        <b/>
        <color rgb="FFFF0000"/>
        <sz val="12.0"/>
      </rPr>
      <t xml:space="preserve">)
- Mục tiêu sản phẩm 2: </t>
    </r>
    <r>
      <rPr>
        <rFont val="Times New Roman"/>
        <b/>
        <color rgb="FF000000"/>
        <sz val="12.0"/>
      </rPr>
      <t>Phát triển, nâng cao hệ thống, tự động hóa quy trình tuyển dụng và thuận tiện cho người dùng</t>
    </r>
    <r>
      <rPr>
        <rFont val="Times New Roman"/>
        <b/>
        <color rgb="FFFF0000"/>
        <sz val="12.0"/>
      </rPr>
      <t xml:space="preserve">
</t>
    </r>
    <r>
      <rPr>
        <rFont val="Times New Roman"/>
        <b/>
        <color rgb="FF5B9BD5"/>
        <sz val="12.0"/>
      </rPr>
      <t xml:space="preserve">      </t>
    </r>
    <r>
      <rPr>
        <rFont val="Times New Roman"/>
        <b/>
        <color rgb="FF4A86E8"/>
        <sz val="12.0"/>
      </rPr>
      <t>Mục tiêu Sprint 1:</t>
    </r>
    <r>
      <rPr>
        <rFont val="Times New Roman"/>
        <b/>
        <color rgb="FFFF0000"/>
        <sz val="12.0"/>
      </rPr>
      <t xml:space="preserve"> </t>
    </r>
    <r>
      <rPr>
        <rFont val="Times New Roman"/>
        <b/>
        <color rgb="FF000000"/>
        <sz val="12.0"/>
      </rPr>
      <t xml:space="preserve">Các tính năng nâng cao trải nghiệm người dùng </t>
    </r>
    <r>
      <rPr>
        <rFont val="Times New Roman"/>
        <b/>
        <color rgb="FFFF0000"/>
        <sz val="12.0"/>
      </rPr>
      <t>(</t>
    </r>
    <r>
      <rPr>
        <rFont val="Times New Roman"/>
        <b/>
        <color rgb="FF000000"/>
        <sz val="12.0"/>
      </rPr>
      <t>tối ưu giao diện, tìm kiếm nâng cao</t>
    </r>
    <r>
      <rPr>
        <rFont val="Times New Roman"/>
        <b/>
        <color rgb="FFFF0000"/>
        <sz val="12.0"/>
      </rPr>
      <t xml:space="preserve">)
</t>
    </r>
    <r>
      <rPr>
        <rFont val="Times New Roman"/>
        <b/>
        <color rgb="FF4A86E8"/>
        <sz val="12.0"/>
      </rPr>
      <t xml:space="preserve">      Mục tiêu Sprint 2:</t>
    </r>
    <r>
      <rPr>
        <rFont val="Times New Roman"/>
        <b/>
        <color rgb="FFFF0000"/>
        <sz val="12.0"/>
      </rPr>
      <t xml:space="preserve"> </t>
    </r>
    <r>
      <rPr>
        <rFont val="Times New Roman"/>
        <b/>
        <color rgb="FF000000"/>
        <sz val="12.0"/>
      </rPr>
      <t xml:space="preserve">Tự động hóa quy trình tuyển dụng </t>
    </r>
    <r>
      <rPr>
        <rFont val="Times New Roman"/>
        <b/>
        <color rgb="FFFF0000"/>
        <sz val="12.0"/>
      </rPr>
      <t>(</t>
    </r>
    <r>
      <rPr>
        <rFont val="Times New Roman"/>
        <b/>
        <color rgb="FF000000"/>
        <sz val="12.0"/>
      </rPr>
      <t>lọc, gửi email tự động, thiết lập workflow tuyển dụng</t>
    </r>
    <r>
      <rPr>
        <rFont val="Times New Roman"/>
        <b/>
        <color rgb="FFFF0000"/>
        <sz val="12.0"/>
      </rPr>
      <t xml:space="preserve">)
</t>
    </r>
    <r>
      <rPr>
        <rFont val="Times New Roman"/>
        <b/>
        <color rgb="FF4A86E8"/>
        <sz val="12.0"/>
      </rPr>
      <t xml:space="preserve">      Mục tiêu Sprint 3: </t>
    </r>
    <r>
      <rPr>
        <rFont val="Times New Roman"/>
        <b/>
        <color rgb="FF000000"/>
        <sz val="12.0"/>
      </rPr>
      <t xml:space="preserve">Bảng điều khiển nâng cao </t>
    </r>
    <r>
      <rPr>
        <rFont val="Times New Roman"/>
        <b/>
        <color rgb="FFFF0000"/>
        <sz val="12.0"/>
      </rPr>
      <t>(</t>
    </r>
    <r>
      <rPr>
        <rFont val="Times New Roman"/>
        <b/>
        <color rgb="FF000000"/>
        <sz val="12.0"/>
      </rPr>
      <t>phân tích hiệu quả tuyển dụng, theo dõi hành vi người dùng</t>
    </r>
    <r>
      <rPr>
        <rFont val="Times New Roman"/>
        <b/>
        <color rgb="FFFF0000"/>
        <sz val="12.0"/>
      </rPr>
      <t>)</t>
    </r>
    <r>
      <rPr>
        <rFont val="Times New Roman"/>
        <b/>
        <color rgb="FF000000"/>
        <sz val="12.0"/>
      </rPr>
      <t xml:space="preserve">
      </t>
    </r>
    <r>
      <rPr>
        <rFont val="Times New Roman"/>
        <b/>
        <color rgb="FF4A86E8"/>
        <sz val="12.0"/>
      </rPr>
      <t>Mục tiêu Sprint 4:</t>
    </r>
    <r>
      <rPr>
        <rFont val="Times New Roman"/>
        <b/>
        <color rgb="FF000000"/>
        <sz val="12.0"/>
      </rPr>
      <t xml:space="preserve"> Mở rộng &amp; tích hợp hệ thống</t>
    </r>
    <r>
      <rPr>
        <rFont val="Times New Roman"/>
        <b/>
        <color rgb="FFFF0000"/>
        <sz val="12.0"/>
      </rPr>
      <t xml:space="preserve"> (</t>
    </r>
    <r>
      <rPr>
        <rFont val="Times New Roman"/>
        <b/>
        <color rgb="FF000000"/>
        <sz val="12.0"/>
      </rPr>
      <t>tích hợp API, hỗ trợ đa nền tảng, tăng tính bảo mật &amp; hiệu năng hệ thống</t>
    </r>
    <r>
      <rPr>
        <rFont val="Times New Roman"/>
        <b/>
        <color rgb="FFFF0000"/>
        <sz val="12.0"/>
      </rPr>
      <t>)</t>
    </r>
  </si>
  <si>
    <t>*</t>
  </si>
  <si>
    <t>Name</t>
  </si>
  <si>
    <t>Monday (2)</t>
  </si>
  <si>
    <t>Tuesday (3)</t>
  </si>
  <si>
    <t>Wednesday (4)</t>
  </si>
  <si>
    <t>Thursday  (5)</t>
  </si>
  <si>
    <t>Friday (6)</t>
  </si>
  <si>
    <t>Saturday (7)</t>
  </si>
  <si>
    <t>Sunday  (8)</t>
  </si>
  <si>
    <t>Monday  (9)</t>
  </si>
  <si>
    <t>Tuesday (10)</t>
  </si>
  <si>
    <t>Mai Anh Tú</t>
  </si>
  <si>
    <t>What did you do yesterday?</t>
  </si>
  <si>
    <t>Cập nhật cấu trúc bảng dữ liệu mới.</t>
  </si>
  <si>
    <t>Đã hoàn thành bộ lọc (Filter) trang việc làm.</t>
  </si>
  <si>
    <t>Đã xong các phương thức xử lý logic CRUD Admin.</t>
  </si>
  <si>
    <t>Đã xử lý xong các lỗi PSR-4 và chuẩn PSR-3.</t>
  </si>
  <si>
    <t>Đã hoàn thành test chức năng duyệt hồ sơ.</t>
  </si>
  <si>
    <t>Đã fix lỗi xung đột (Conflict) Footer hệ thống.</t>
  </si>
  <si>
    <t>Đã soát lỗi logic trên toàn bộ trang Quản trị.</t>
  </si>
  <si>
    <t>Đã hoàn tất việc đóng gói mã nguồn tuần cũ.</t>
  </si>
  <si>
    <t>Đã xong các phương thức xử lý Offer (mẫu mời làm việc).</t>
  </si>
  <si>
    <t>What will you work on today?</t>
  </si>
  <si>
    <t>Thực hiện xử lý logic gửi Mail cho ứng viên.</t>
  </si>
  <si>
    <t>Xử lý logic cho phần duyệt tin tuyển dụng.</t>
  </si>
  <si>
    <t>Test chức năng và kiểm tra lại validate Form.</t>
  </si>
  <si>
    <t>Tối ưu các phương thức xử lý dữ liệu bảng.</t>
  </si>
  <si>
    <t>Test chức năng phân quyền (Filament Shield).</t>
  </si>
  <si>
    <t>Kiểm tra tính bảo mật của các phương thức xử lý.</t>
  </si>
  <si>
    <t>Kiểm tra lại lần cuối và đóng gói mã nguồn.</t>
  </si>
  <si>
    <t>Thực hiện xử lý logic tạo file PDF Offer.</t>
  </si>
  <si>
    <t>Test chức năng gửi mail tự động cho ứng viên trúng tuyển.</t>
  </si>
  <si>
    <t>Do you have any obstacles?</t>
  </si>
  <si>
    <t>Lỗi khi cấu hình Mail Server (Gmail Pass).</t>
  </si>
  <si>
    <t>Logic hiển thị trạng thái duyệt tin còn bị sai.</t>
  </si>
  <si>
    <t>Test chức năng phát hiện lỗi khi bỏ trống ô.</t>
  </si>
  <si>
    <t>Các lỗi PSR-4 gây gián đoạn khi chạy hệ thống.</t>
  </si>
  <si>
    <t>Chia role bằng Shield đôi khi bị mất quyền Admin.</t>
  </si>
  <si>
    <t>Phát sinh lỗi khi nhiều người cùng thao tác.</t>
  </si>
  <si>
    <t>Áp lực thời gian để tổng hợp báo cáo.</t>
  </si>
  <si>
    <t>Lỗi định dạng khi xuất file PDF từ dữ liệu hệ thống.</t>
  </si>
  <si>
    <t>Email gửi đi đôi khi bị rơi vào hòm thư rác (Spam).</t>
  </si>
  <si>
    <t>Lê Quang Đồng</t>
  </si>
  <si>
    <t>Cập nhật lại màu sắc chuẩn FPT Poly.</t>
  </si>
  <si>
    <t>Đã xong khung code giao diện Employer mới.</t>
  </si>
  <si>
    <t>Đã tích hợp hình ảnh vào các Category.</t>
  </si>
  <si>
    <t>Đã thành công xử lý logic vào giao diện.</t>
  </si>
  <si>
    <t>Đã sửa các lỗi vỡ khung trong code giao diện.</t>
  </si>
  <si>
    <t>Đã hoàn thiện các hiệu ứng hover cho nút.</t>
  </si>
  <si>
    <t>Đã kiểm tra hiển thị trên thiết bị di động.</t>
  </si>
  <si>
    <t>Đã sửa xong các lỗi vỡ khung trang chủ.</t>
  </si>
  <si>
    <t>Đã hoàn thiện giao diện các nút chức năng mới.</t>
  </si>
  <si>
    <t>Code giao diện chi tiết trang Nhà tuyển dụng.</t>
  </si>
  <si>
    <t>Cắt giao diện và chỉnh sửa các trang con.</t>
  </si>
  <si>
    <t>Thực hiện phương thức xử lý hiển thị dữ liệu.</t>
  </si>
  <si>
    <t>Test chức năng giao diện trang danh sách việc.</t>
  </si>
  <si>
    <t>Chỉnh sửa code giao diện (Sửa lỗi Header nhảy).</t>
  </si>
  <si>
    <t>Test chức năng hiển thị Category ngoài Client.</t>
  </si>
  <si>
    <t>Hoàn thiện toàn bộ các trang của Employer.</t>
  </si>
  <si>
    <t>Code giao diện bảng điều khiển (Dashboard) cho HR.</t>
  </si>
  <si>
    <t>Test chức năng lọc địa chỉ làm việc ngay trên giao diện.</t>
  </si>
  <si>
    <t>Code giao diện chưa khớp với các giao diện khác.</t>
  </si>
  <si>
    <t>Tìm hình ảnh minh họa cho các danh mục khó.</t>
  </si>
  <si>
    <t>Xử lý logic hiển thị dữ liệu (Render) bị lỗi.</t>
  </si>
  <si>
    <t>Test chức năng thấy trang chủ load chậm.</t>
  </si>
  <si>
    <t>Một số phần code giao diện bị lệch trên Mobile.</t>
  </si>
  <si>
    <t>Lỗi hiển thị hình ảnh.</t>
  </si>
  <si>
    <t>Các nút bấm đôi khi không phản hồi.</t>
  </si>
  <si>
    <t>Code giao diện phần biểu đồ hiển thị chưa cân đối.</t>
  </si>
  <si>
    <t>Lỗi dữ liệu không thay đổi khi chọn bộ lọc địa chỉ.</t>
  </si>
  <si>
    <t>Đặng Thị Kim Anh</t>
  </si>
  <si>
    <t>Cập nhật các ô nhập liệu (Input) mới.</t>
  </si>
  <si>
    <t>Đã xong các form nhập liệu cho ứng viên.</t>
  </si>
  <si>
    <t>Đã hoàn thành các phương thức xử lý và hiển thị thông báo lỗi trên giao diện người dùng.</t>
  </si>
  <si>
    <t>Đã hoàn thiện giao diện cho các trang Admin.</t>
  </si>
  <si>
    <t>Đã hoàn thành test chức năng đăng ký/đăng nhập.</t>
  </si>
  <si>
    <t>Đã chỉnh sửa giao diện theo kết quả test.</t>
  </si>
  <si>
    <t>Đã Việt hóa toàn bộ các trang phía Client.</t>
  </si>
  <si>
    <t>Hoàn thành user icon cho giao diện Client</t>
  </si>
  <si>
    <t>Đã xong giao diện Modal đăng ký cho ứng viên và nhà tuyển dụng.</t>
  </si>
  <si>
    <t>Code giao diện modal đăng ký/đăng nhập.</t>
  </si>
  <si>
    <t>Cắt giao diện và làm trang danh sách ứng viên.</t>
  </si>
  <si>
    <t>Đã thực hiện phương thức xử lý để hiển thị modal trên giao diện người dùng.</t>
  </si>
  <si>
    <t>Test chức năng nộp hồ sơ của ứng viên.</t>
  </si>
  <si>
    <t>Xây dựng giao diện chức năng thay đổi mật khẩu, bao gồm các trường nhập mật khẩu hiện tại, mật khẩu mới và xác nhận mật khẩu.</t>
  </si>
  <si>
    <t>Test chức năng và kiểm tra các liên kết (Link).</t>
  </si>
  <si>
    <t>Tạo user icon thông tin tài khoản giao diện Client</t>
  </si>
  <si>
    <t>Code giao diện Modal đăng ký cho ứng viên và doanh nghiệp.</t>
  </si>
  <si>
    <t>Test chức năng đăng ký tài khoản qua các (Modal).</t>
  </si>
  <si>
    <t>Chia role hiển thị menu bị chồng chéo.</t>
  </si>
  <si>
    <t>Code giao diện bộ lọc tìm kiếm nhìn bị rối.</t>
  </si>
  <si>
    <t>Phương thức xử lý chưa chặn được ký tự lạ.</t>
  </si>
  <si>
    <t>Test chức năng thấy thông báo hiện sai chỗ.</t>
  </si>
  <si>
    <t>Code giao diện trang báo lỗi nhìn còn đơn giản.</t>
  </si>
  <si>
    <t>Báo lỗi khi chuyển Link và 1 số không chuyển được.</t>
  </si>
  <si>
    <t>Css giao diện còn gặp lỗi cấu trúc</t>
  </si>
  <si>
    <t>Code giao diện Modal bị lỗi không tự đóng sau khi lưu.</t>
  </si>
  <si>
    <t>Lỗi hiển thị thông báo lỗi ngay trên Modal đăng ký.</t>
  </si>
  <si>
    <t>Nguyễn Trọng an</t>
  </si>
  <si>
    <t>Cập nhật Database cho các chi nhánh (Branch).</t>
  </si>
  <si>
    <t>Đã thực hiện xử lý logic phân quyền người dùng.</t>
  </si>
  <si>
    <t>Đã xong các phương thức xử lý login/logout.</t>
  </si>
  <si>
    <t>Đã xong các xử lý logic thống kê Dashboard.</t>
  </si>
  <si>
    <t>Đã hoàn thành test chức năng phân quyền.</t>
  </si>
  <si>
    <t>Đã tối ưu các câu lệnh xử lý logic database.</t>
  </si>
  <si>
    <t>Đã sao lưu dữ liệu (Upload CSDL lên Git).</t>
  </si>
  <si>
    <t>Đã cập nhật xong dữ liệu các chi nhánh mới.</t>
  </si>
  <si>
    <t>Đã xử lý xong phân quyền cho cấp bậc quản lý mới.</t>
  </si>
  <si>
    <t>Thực hiện xử lý logic phân quyền người dùng.</t>
  </si>
  <si>
    <t>Thực hiện phương thức xử lý login/logout.</t>
  </si>
  <si>
    <t>Code các phương thức xử lý logic cho Admin.</t>
  </si>
  <si>
    <t>Test chức năng hiển thị biểu đồ thống kê.</t>
  </si>
  <si>
    <t>Thực hiện logic phân quyền bằng Shield.</t>
  </si>
  <si>
    <t>Test chức năng chịu tải khi dữ liệu lớn.</t>
  </si>
  <si>
    <t>Kiểm tra tính chính xác của dữ liệu cuối tuần.</t>
  </si>
  <si>
    <t>Thực hiện phương thức xử lý phân quyền cho từng chi nhánh.</t>
  </si>
  <si>
    <t>Test chức năng lọc ứng viên theo từng chi nhánh cụ thể.</t>
  </si>
  <si>
    <t>Phát sinh xung đột khi đồng bộ mã nguồn do có sự khác biệt giữa các thay đổi trên máy local và trên máy chung.</t>
  </si>
  <si>
    <t>Xử lý phương thức login/logout chưa lấy được dữ liệu người dùng.</t>
  </si>
  <si>
    <t>Các phương thức xử lý báo cáo bị sai số.</t>
  </si>
  <si>
    <t>Test chức năng biểu đồ không nhận dữ liệu.</t>
  </si>
  <si>
    <t>Việc chia role gặp lỗi xung đột Middleware.</t>
  </si>
  <si>
    <t>Phát hiện lỗ hổng bảo mật khi chạy test.</t>
  </si>
  <si>
    <t>Lỗi khi chuyển dữ liệu báo cáo sang Excel.</t>
  </si>
  <si>
    <t>Xử lý logic phân quyền chi nhánh bị xung đột dữ liệu.</t>
  </si>
  <si>
    <t>Truy vấn dữ liệu từ nhiều chi nhánh tốn nhiều bộ nhớ.</t>
  </si>
  <si>
    <t>Lâm Chí Hào</t>
  </si>
  <si>
    <t>Chỉnh sửa giao diện chi tiết bài viết.</t>
  </si>
  <si>
    <t>Đã xong giao diện chi tiết công việc.</t>
  </si>
  <si>
    <t>Đã xong giao diện và hoàn thiện trang cá nhân.</t>
  </si>
  <si>
    <t>Đã xong phần hiển thị hồ sơ cá nhân (Profile).</t>
  </si>
  <si>
    <t>Đã hoàn thành test chức năng chỉnh sửa hồ sơ.</t>
  </si>
  <si>
    <t>Đã sửa xong lỗi giao diện Header và Footer.</t>
  </si>
  <si>
    <t>Đã kiểm tra lại toàn bộ trải nghiệm người dùng.</t>
  </si>
  <si>
    <t>Đã sửa xong các lỗi Icon hiển thị sai.</t>
  </si>
  <si>
    <t>Đã hoàn thiện giao diện trang thông tin công ty.</t>
  </si>
  <si>
    <t>Code giao diện trang tin chi tiết công việc.</t>
  </si>
  <si>
    <t>Cắt giao diện và hoàn thiện trang cá nhân.</t>
  </si>
  <si>
    <t>Thực hiện phương thức xử lý cập nhật Avatar.</t>
  </si>
  <si>
    <t>Test chức năng và sửa lỗi link các trang con.</t>
  </si>
  <si>
    <t>Tối ưu hóa các phương thức xử lý chuyển trang.</t>
  </si>
  <si>
    <t>Test chức năng xem lịch phỏng vấn Admin.</t>
  </si>
  <si>
    <t>Kiểm tra lại toàn bộ code giao diện lần cuối.</t>
  </si>
  <si>
    <t>Code giao diện phần thêm chi tiết ứng viên cho HR.</t>
  </si>
  <si>
    <t>Test chức năng hiển thị ảnh đại diện (Avatar) của ứng viên.</t>
  </si>
  <si>
    <t>Code giao diện bị lỗi khi hiển thị bài viết dài.</t>
  </si>
  <si>
    <t xml:space="preserve">Tìm ảnh minh họa phù hợp cho About và Home còn khó khăn. </t>
  </si>
  <si>
    <t>Xử lý logic tải file bị treo khi file quá lớn.</t>
  </si>
  <si>
    <t>Test chức năng phát hiện link layout bị sai.</t>
  </si>
  <si>
    <t>Code giao diện bị tràn khi xem trên máy tính bảng.</t>
  </si>
  <si>
    <t>Các phương thức xử lý đôi khi phản hồi chậm.</t>
  </si>
  <si>
    <t>Một vài icon bị lỗi hiển thị khi chạy thực tế.</t>
  </si>
  <si>
    <t>Code giao diện phần thêm thông tin bị tràn màn hình.</t>
  </si>
  <si>
    <t>Ảnh đại diện của người dùng không hiển thị đúng kích thước.</t>
  </si>
  <si>
    <t>BẢNG BÁO CÁO CÔNG VIỆC</t>
  </si>
  <si>
    <t>Nguyễn Trọng An</t>
  </si>
  <si>
    <t>WS1</t>
  </si>
  <si>
    <t>CÓ</t>
  </si>
  <si>
    <t>WS2</t>
  </si>
  <si>
    <t>WS3</t>
  </si>
  <si>
    <t>WS4</t>
  </si>
  <si>
    <t>KHÔNG</t>
  </si>
  <si>
    <t>WS5</t>
  </si>
  <si>
    <t>WS6</t>
  </si>
  <si>
    <t>BIÊN BẢNG NHẬN XÉT CÁC THÀNH VIÊN BUỔI HỌP</t>
  </si>
  <si>
    <t>TÊN THÀNH VIÊN</t>
  </si>
  <si>
    <t>CHUẨN BỊ</t>
  </si>
  <si>
    <t>LÝ DO NGHỈ HỌP</t>
  </si>
  <si>
    <t>LÝ DO NGHỈ HỌC</t>
  </si>
  <si>
    <t>ĐÓNG GÓP Ý KIẾN</t>
  </si>
  <si>
    <t>NHẬN XÉT</t>
  </si>
  <si>
    <t>TỔNG CỘNG</t>
  </si>
  <si>
    <t>Chất lượng</t>
  </si>
  <si>
    <t>không chất lượng</t>
  </si>
  <si>
    <t>Không đầy đủ</t>
  </si>
  <si>
    <t>Chính đáng</t>
  </si>
  <si>
    <t>Ko chíng đáng</t>
  </si>
  <si>
    <t>Ko phép</t>
  </si>
  <si>
    <t>Tích cực</t>
  </si>
  <si>
    <t>Ít tích cực</t>
  </si>
  <si>
    <t>Ko đóng góp</t>
  </si>
  <si>
    <t>Ko đi họp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</si>
</sst>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£-809]#,##0.00"/>
  </numFmts>
  <fonts count="57">
    <font>
      <sz val="11.0"/>
      <color theme="1"/>
      <name val="Calibri"/>
      <scheme val="minor"/>
    </font>
    <font>
      <b/>
      <sz val="36.0"/>
      <color theme="1"/>
      <name val="Times"/>
    </font>
    <font/>
    <font>
      <sz val="11.0"/>
      <color theme="1"/>
      <name val="Calibri"/>
    </font>
    <font>
      <b/>
      <sz val="20.0"/>
      <color rgb="FFFFFFFF"/>
      <name val="Times"/>
    </font>
    <font>
      <sz val="14.0"/>
      <color rgb="FFFFFFFF"/>
      <name val="Times"/>
    </font>
    <font>
      <b/>
      <sz val="19.0"/>
      <color theme="1"/>
      <name val="Times"/>
    </font>
    <font>
      <sz val="12.0"/>
      <color rgb="FF000000"/>
      <name val="Times"/>
    </font>
    <font>
      <sz val="12.0"/>
      <color rgb="FF081C36"/>
      <name val="Times"/>
    </font>
    <font>
      <sz val="12.0"/>
      <color theme="1"/>
      <name val="Times"/>
    </font>
    <font>
      <b/>
      <sz val="18.0"/>
      <color rgb="FF1F1F1F"/>
      <name val="Times"/>
    </font>
    <font>
      <sz val="11.0"/>
      <color rgb="FF000000"/>
      <name val="Calibri"/>
    </font>
    <font>
      <color theme="1"/>
      <name val="Times"/>
    </font>
    <font>
      <b/>
      <sz val="18.0"/>
      <color theme="1"/>
      <name val="Times"/>
    </font>
    <font>
      <sz val="12.0"/>
      <color theme="1"/>
      <name val="Cambria"/>
    </font>
    <font>
      <b/>
      <sz val="12.0"/>
      <color theme="1"/>
      <name val="Times New Roman"/>
    </font>
    <font>
      <b/>
      <sz val="18.0"/>
      <color rgb="FF1F1F1F"/>
      <name val="Times New Roman"/>
    </font>
    <font>
      <b/>
      <sz val="20.0"/>
      <color rgb="FFFFFFFF"/>
      <name val="Times New Roman"/>
    </font>
    <font>
      <sz val="14.0"/>
      <color rgb="FFFFFFFF"/>
      <name val="Times New Roman"/>
    </font>
    <font>
      <b/>
      <sz val="19.0"/>
      <color theme="1"/>
      <name val="Times New Roman"/>
    </font>
    <font>
      <sz val="12.0"/>
      <color rgb="FF000000"/>
      <name val="Times New Roman"/>
    </font>
    <font>
      <sz val="12.0"/>
      <color rgb="FF081C36"/>
      <name val="Times New Roman"/>
    </font>
    <font>
      <sz val="12.0"/>
      <color theme="1"/>
      <name val="Times New Roman"/>
    </font>
    <font>
      <color theme="1"/>
      <name val="Calibri"/>
    </font>
    <font>
      <b/>
      <sz val="18.0"/>
      <color theme="1"/>
      <name val="Times New Roman"/>
    </font>
    <font>
      <sz val="12.0"/>
      <color rgb="FF000000"/>
      <name val="Calibri"/>
    </font>
    <font>
      <b/>
      <sz val="13.0"/>
      <color rgb="FFFFFFFF"/>
      <name val="Times"/>
    </font>
    <font>
      <b/>
      <sz val="13.0"/>
      <color theme="1"/>
      <name val="Times"/>
    </font>
    <font>
      <b/>
      <sz val="12.0"/>
      <color rgb="FF000000"/>
      <name val="Times"/>
    </font>
    <font>
      <b/>
      <sz val="11.0"/>
      <color theme="1"/>
      <name val="Calibri"/>
    </font>
    <font>
      <b/>
      <sz val="12.0"/>
      <color rgb="FFFFFFFF"/>
      <name val="Times"/>
    </font>
    <font>
      <sz val="10.0"/>
      <color theme="1"/>
      <name val="Times"/>
    </font>
    <font>
      <sz val="11.0"/>
      <color theme="1"/>
      <name val="Times"/>
    </font>
    <font>
      <sz val="12.0"/>
      <color rgb="FFFFFFFF"/>
      <name val="Times"/>
    </font>
    <font>
      <b/>
      <sz val="12.0"/>
      <color theme="0"/>
      <name val="Times"/>
    </font>
    <font>
      <sz val="10.0"/>
      <color rgb="FF000000"/>
      <name val="Times"/>
    </font>
    <font>
      <sz val="12.0"/>
      <color theme="0"/>
      <name val="Times"/>
    </font>
    <font>
      <b/>
      <sz val="12.0"/>
      <color rgb="FFFFFFFF"/>
      <name val="Times New Roman"/>
    </font>
    <font>
      <sz val="12.0"/>
      <color theme="0"/>
      <name val="Times New Roman"/>
    </font>
    <font>
      <sz val="12.0"/>
      <color rgb="FFFFFFFF"/>
      <name val="Times New Roman"/>
    </font>
    <font>
      <b/>
      <sz val="12.0"/>
      <color rgb="FF000000"/>
      <name val="Times New Roman"/>
    </font>
    <font>
      <b/>
      <color theme="1"/>
      <name val="Calibri"/>
    </font>
    <font>
      <b/>
      <sz val="13.0"/>
      <color rgb="FFFFFFFF"/>
      <name val="Times New Roman"/>
    </font>
    <font>
      <sz val="10.0"/>
      <color theme="1"/>
      <name val="Times New Roman"/>
    </font>
    <font>
      <sz val="11.0"/>
      <color theme="1"/>
      <name val="Times New Roman"/>
    </font>
    <font>
      <b/>
      <sz val="12.0"/>
      <color theme="0"/>
      <name val="Times New Roman"/>
    </font>
    <font>
      <b/>
      <sz val="13.0"/>
      <color rgb="FF000000"/>
      <name val="Times New Roman"/>
    </font>
    <font>
      <b/>
      <sz val="13.0"/>
      <color rgb="FF474747"/>
      <name val="Times New Roman"/>
    </font>
    <font>
      <b/>
      <sz val="12.0"/>
      <color rgb="FFFF0000"/>
      <name val="Times New Roman"/>
    </font>
    <font>
      <color rgb="FF000000"/>
      <name val="Times New Roman"/>
    </font>
    <font>
      <b/>
      <color rgb="FFFF0000"/>
      <name val="Times New Roman"/>
    </font>
    <font>
      <color rgb="FF000000"/>
      <name val="Calibri"/>
    </font>
    <font>
      <b/>
      <color rgb="FF000000"/>
      <name val="Times New Roman"/>
    </font>
    <font>
      <b/>
      <color rgb="FF1F497D"/>
      <name val="Times New Roman"/>
    </font>
    <font>
      <b/>
      <color rgb="FF00FF00"/>
      <name val="Times New Roman"/>
    </font>
    <font>
      <b/>
      <color rgb="FF000000"/>
      <name val="Calibri"/>
    </font>
    <font>
      <b/>
      <color rgb="FFFFFF00"/>
      <name val="Calibri"/>
    </font>
  </fonts>
  <fills count="25">
    <fill>
      <patternFill patternType="none"/>
    </fill>
    <fill>
      <patternFill patternType="lightGray"/>
    </fill>
    <fill>
      <patternFill patternType="solid">
        <fgColor rgb="FF4F6128"/>
        <bgColor rgb="FF4F6128"/>
      </patternFill>
    </fill>
    <fill>
      <patternFill patternType="solid">
        <fgColor rgb="FF333399"/>
        <bgColor rgb="FF33339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76923C"/>
        <bgColor rgb="FF76923C"/>
      </patternFill>
    </fill>
    <fill>
      <patternFill patternType="solid">
        <fgColor rgb="FFB6DDE8"/>
        <bgColor rgb="FFB6DDE8"/>
      </patternFill>
    </fill>
    <fill>
      <patternFill patternType="solid">
        <fgColor rgb="FF595959"/>
        <bgColor rgb="FF595959"/>
      </patternFill>
    </fill>
    <fill>
      <patternFill patternType="solid">
        <fgColor rgb="FFD8D8D8"/>
        <bgColor rgb="FFD8D8D8"/>
      </patternFill>
    </fill>
    <fill>
      <patternFill patternType="solid">
        <fgColor rgb="FFF7F7F8"/>
        <bgColor rgb="FFF7F7F8"/>
      </patternFill>
    </fill>
    <fill>
      <patternFill patternType="solid">
        <fgColor rgb="FF953734"/>
        <bgColor rgb="FF953734"/>
      </patternFill>
    </fill>
    <fill>
      <patternFill patternType="solid">
        <fgColor rgb="FFB2A1C7"/>
        <bgColor rgb="FFB2A1C7"/>
      </patternFill>
    </fill>
    <fill>
      <patternFill patternType="solid">
        <fgColor rgb="FF134F5C"/>
        <bgColor rgb="FF134F5C"/>
      </patternFill>
    </fill>
    <fill>
      <patternFill patternType="solid">
        <fgColor rgb="FF6D9EEB"/>
        <bgColor rgb="FF6D9EEB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B7E1CD"/>
        <bgColor rgb="FFB7E1CD"/>
      </patternFill>
    </fill>
    <fill>
      <patternFill patternType="solid">
        <fgColor rgb="FFFFFF00"/>
        <bgColor rgb="FFFFFF00"/>
      </patternFill>
    </fill>
    <fill>
      <patternFill patternType="solid">
        <fgColor rgb="FFE2F0D9"/>
        <bgColor rgb="FFE2F0D9"/>
      </patternFill>
    </fill>
    <fill>
      <patternFill patternType="solid">
        <fgColor rgb="FFBDD7EE"/>
        <bgColor rgb="FFBDD7EE"/>
      </patternFill>
    </fill>
    <fill>
      <patternFill patternType="solid">
        <fgColor rgb="FFD8E4BC"/>
        <bgColor rgb="FFD8E4BC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46BDC6"/>
        <bgColor rgb="FF46BDC6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2" fontId="4" numFmtId="0" xfId="0" applyAlignment="1" applyBorder="1" applyFill="1" applyFont="1">
      <alignment horizontal="center" vertical="center"/>
    </xf>
    <xf borderId="8" fillId="0" fontId="2" numFmtId="0" xfId="0" applyBorder="1" applyFont="1"/>
    <xf borderId="9" fillId="0" fontId="2" numFmtId="0" xfId="0" applyBorder="1" applyFont="1"/>
    <xf borderId="10" fillId="3" fontId="5" numFmtId="0" xfId="0" applyAlignment="1" applyBorder="1" applyFill="1" applyFont="1">
      <alignment horizontal="center" vertical="center"/>
    </xf>
    <xf borderId="10" fillId="3" fontId="5" numFmtId="0" xfId="0" applyAlignment="1" applyBorder="1" applyFont="1">
      <alignment horizontal="center" shrinkToFit="0" vertical="center" wrapText="1"/>
    </xf>
    <xf borderId="7" fillId="0" fontId="6" numFmtId="0" xfId="0" applyAlignment="1" applyBorder="1" applyFont="1">
      <alignment horizontal="center" vertical="center"/>
    </xf>
    <xf borderId="10" fillId="0" fontId="7" numFmtId="0" xfId="0" applyAlignment="1" applyBorder="1" applyFont="1">
      <alignment horizontal="center"/>
    </xf>
    <xf borderId="10" fillId="0" fontId="7" numFmtId="0" xfId="0" applyAlignment="1" applyBorder="1" applyFont="1">
      <alignment horizontal="left" vertical="top"/>
    </xf>
    <xf borderId="10" fillId="4" fontId="8" numFmtId="0" xfId="0" applyAlignment="1" applyBorder="1" applyFill="1" applyFont="1">
      <alignment horizontal="left" vertical="top"/>
    </xf>
    <xf borderId="10" fillId="5" fontId="9" numFmtId="0" xfId="0" applyAlignment="1" applyBorder="1" applyFill="1" applyFont="1">
      <alignment horizontal="center"/>
    </xf>
    <xf borderId="10" fillId="0" fontId="9" numFmtId="0" xfId="0" applyBorder="1" applyFont="1"/>
    <xf borderId="7" fillId="4" fontId="10" numFmtId="0" xfId="0" applyAlignment="1" applyBorder="1" applyFont="1">
      <alignment horizontal="center" vertical="center"/>
    </xf>
    <xf borderId="0" fillId="0" fontId="11" numFmtId="0" xfId="0" applyFont="1"/>
    <xf borderId="10" fillId="0" fontId="9" numFmtId="0" xfId="0" applyAlignment="1" applyBorder="1" applyFont="1">
      <alignment horizontal="center"/>
    </xf>
    <xf borderId="10" fillId="0" fontId="12" numFmtId="0" xfId="0" applyBorder="1" applyFont="1"/>
    <xf borderId="7" fillId="0" fontId="13" numFmtId="0" xfId="0" applyAlignment="1" applyBorder="1" applyFont="1">
      <alignment horizontal="center" vertical="center"/>
    </xf>
    <xf borderId="10" fillId="4" fontId="9" numFmtId="0" xfId="0" applyAlignment="1" applyBorder="1" applyFont="1">
      <alignment horizontal="left" vertical="top"/>
    </xf>
    <xf borderId="10" fillId="0" fontId="7" numFmtId="0" xfId="0" applyAlignment="1" applyBorder="1" applyFont="1">
      <alignment horizontal="left" shrinkToFit="0" vertical="top" wrapText="1"/>
    </xf>
    <xf borderId="2" fillId="0" fontId="3" numFmtId="0" xfId="0" applyAlignment="1" applyBorder="1" applyFont="1">
      <alignment vertical="center"/>
    </xf>
    <xf borderId="2" fillId="0" fontId="3" numFmtId="0" xfId="0" applyBorder="1" applyFont="1"/>
    <xf borderId="0" fillId="0" fontId="14" numFmtId="0" xfId="0" applyAlignment="1" applyFont="1">
      <alignment horizontal="center" vertical="center"/>
    </xf>
    <xf borderId="0" fillId="0" fontId="15" numFmtId="0" xfId="0" applyAlignment="1" applyFont="1">
      <alignment vertical="center"/>
    </xf>
    <xf borderId="0" fillId="0" fontId="16" numFmtId="0" xfId="0" applyAlignment="1" applyFont="1">
      <alignment vertical="center"/>
    </xf>
    <xf borderId="7" fillId="2" fontId="17" numFmtId="0" xfId="0" applyAlignment="1" applyBorder="1" applyFont="1">
      <alignment horizontal="center" vertical="center"/>
    </xf>
    <xf borderId="10" fillId="3" fontId="18" numFmtId="0" xfId="0" applyAlignment="1" applyBorder="1" applyFont="1">
      <alignment horizontal="center" vertical="center"/>
    </xf>
    <xf borderId="10" fillId="3" fontId="18" numFmtId="0" xfId="0" applyAlignment="1" applyBorder="1" applyFont="1">
      <alignment horizontal="center" shrinkToFit="0" vertical="center" wrapText="1"/>
    </xf>
    <xf borderId="7" fillId="0" fontId="19" numFmtId="0" xfId="0" applyAlignment="1" applyBorder="1" applyFont="1">
      <alignment horizontal="center" vertical="center"/>
    </xf>
    <xf borderId="10" fillId="0" fontId="20" numFmtId="0" xfId="0" applyAlignment="1" applyBorder="1" applyFont="1">
      <alignment horizontal="center"/>
    </xf>
    <xf borderId="10" fillId="0" fontId="20" numFmtId="0" xfId="0" applyAlignment="1" applyBorder="1" applyFont="1">
      <alignment horizontal="left" vertical="top"/>
    </xf>
    <xf borderId="10" fillId="4" fontId="21" numFmtId="0" xfId="0" applyAlignment="1" applyBorder="1" applyFont="1">
      <alignment horizontal="left" vertical="top"/>
    </xf>
    <xf borderId="10" fillId="5" fontId="22" numFmtId="0" xfId="0" applyAlignment="1" applyBorder="1" applyFont="1">
      <alignment horizontal="center"/>
    </xf>
    <xf borderId="10" fillId="0" fontId="22" numFmtId="0" xfId="0" applyBorder="1" applyFont="1"/>
    <xf borderId="7" fillId="4" fontId="16" numFmtId="0" xfId="0" applyAlignment="1" applyBorder="1" applyFont="1">
      <alignment horizontal="center" vertical="center"/>
    </xf>
    <xf borderId="10" fillId="0" fontId="23" numFmtId="0" xfId="0" applyAlignment="1" applyBorder="1" applyFont="1">
      <alignment horizontal="center"/>
    </xf>
    <xf borderId="10" fillId="0" fontId="22" numFmtId="0" xfId="0" applyAlignment="1" applyBorder="1" applyFont="1">
      <alignment horizontal="center"/>
    </xf>
    <xf borderId="10" fillId="0" fontId="23" numFmtId="0" xfId="0" applyBorder="1" applyFont="1"/>
    <xf borderId="7" fillId="0" fontId="24" numFmtId="0" xfId="0" applyAlignment="1" applyBorder="1" applyFont="1">
      <alignment horizontal="center" vertical="center"/>
    </xf>
    <xf borderId="10" fillId="4" fontId="22" numFmtId="0" xfId="0" applyAlignment="1" applyBorder="1" applyFont="1">
      <alignment horizontal="left" vertical="top"/>
    </xf>
    <xf borderId="10" fillId="0" fontId="20" numFmtId="0" xfId="0" applyAlignment="1" applyBorder="1" applyFont="1">
      <alignment horizontal="left" shrinkToFit="0" vertical="top" wrapText="1"/>
    </xf>
    <xf borderId="7" fillId="6" fontId="4" numFmtId="0" xfId="0" applyAlignment="1" applyBorder="1" applyFill="1" applyFont="1">
      <alignment horizontal="center" vertical="center"/>
    </xf>
    <xf borderId="0" fillId="0" fontId="25" numFmtId="0" xfId="0" applyAlignment="1" applyFont="1">
      <alignment vertical="center"/>
    </xf>
    <xf borderId="10" fillId="6" fontId="26" numFmtId="0" xfId="0" applyAlignment="1" applyBorder="1" applyFont="1">
      <alignment horizontal="center" vertical="center"/>
    </xf>
    <xf borderId="7" fillId="6" fontId="26" numFmtId="0" xfId="0" applyAlignment="1" applyBorder="1" applyFont="1">
      <alignment horizontal="center" vertical="center"/>
    </xf>
    <xf borderId="10" fillId="6" fontId="26" numFmtId="0" xfId="0" applyAlignment="1" applyBorder="1" applyFont="1">
      <alignment horizontal="center" shrinkToFit="0" vertical="center" wrapText="1"/>
    </xf>
    <xf borderId="10" fillId="6" fontId="26" numFmtId="164" xfId="0" applyAlignment="1" applyBorder="1" applyFont="1" applyNumberFormat="1">
      <alignment horizontal="center" shrinkToFit="0" vertical="center" wrapText="1"/>
    </xf>
    <xf borderId="7" fillId="0" fontId="27" numFmtId="0" xfId="0" applyAlignment="1" applyBorder="1" applyFont="1">
      <alignment horizontal="center" vertical="center"/>
    </xf>
    <xf borderId="10" fillId="7" fontId="28" numFmtId="0" xfId="0" applyAlignment="1" applyBorder="1" applyFill="1" applyFont="1">
      <alignment vertical="center"/>
    </xf>
    <xf borderId="10" fillId="7" fontId="28" numFmtId="0" xfId="0" applyAlignment="1" applyBorder="1" applyFont="1">
      <alignment horizontal="center" shrinkToFit="0" vertical="center" wrapText="1"/>
    </xf>
    <xf borderId="10" fillId="7" fontId="28" numFmtId="0" xfId="0" applyAlignment="1" applyBorder="1" applyFont="1">
      <alignment horizontal="center" vertical="center"/>
    </xf>
    <xf borderId="10" fillId="7" fontId="7" numFmtId="0" xfId="0" applyAlignment="1" applyBorder="1" applyFont="1">
      <alignment vertical="center"/>
    </xf>
    <xf borderId="10" fillId="7" fontId="7" numFmtId="0" xfId="0" applyBorder="1" applyFont="1"/>
    <xf borderId="7" fillId="0" fontId="29" numFmtId="0" xfId="0" applyAlignment="1" applyBorder="1" applyFont="1">
      <alignment horizontal="center" vertical="center"/>
    </xf>
    <xf borderId="10" fillId="8" fontId="30" numFmtId="0" xfId="0" applyAlignment="1" applyBorder="1" applyFill="1" applyFont="1">
      <alignment vertical="center"/>
    </xf>
    <xf borderId="7" fillId="8" fontId="30" numFmtId="0" xfId="0" applyAlignment="1" applyBorder="1" applyFont="1">
      <alignment horizontal="center" vertical="center"/>
    </xf>
    <xf borderId="10" fillId="0" fontId="29" numFmtId="0" xfId="0" applyAlignment="1" applyBorder="1" applyFont="1">
      <alignment horizontal="center" vertical="center"/>
    </xf>
    <xf borderId="10" fillId="4" fontId="9" numFmtId="0" xfId="0" applyBorder="1" applyFont="1"/>
    <xf borderId="10" fillId="4" fontId="31" numFmtId="0" xfId="0" applyBorder="1" applyFont="1"/>
    <xf borderId="10" fillId="0" fontId="31" numFmtId="0" xfId="0" applyBorder="1" applyFont="1"/>
    <xf borderId="10" fillId="0" fontId="3" numFmtId="0" xfId="0" applyAlignment="1" applyBorder="1" applyFont="1">
      <alignment vertical="center"/>
    </xf>
    <xf borderId="10" fillId="0" fontId="29" numFmtId="0" xfId="0" applyAlignment="1" applyBorder="1" applyFont="1">
      <alignment horizontal="right" vertical="center"/>
    </xf>
    <xf borderId="10" fillId="0" fontId="3" numFmtId="0" xfId="0" applyAlignment="1" applyBorder="1" applyFont="1">
      <alignment horizontal="right" vertical="center"/>
    </xf>
    <xf borderId="10" fillId="0" fontId="32" numFmtId="0" xfId="0" applyAlignment="1" applyBorder="1" applyFont="1">
      <alignment vertical="center"/>
    </xf>
    <xf borderId="1" fillId="0" fontId="29" numFmtId="0" xfId="0" applyAlignment="1" applyBorder="1" applyFont="1">
      <alignment horizontal="center" vertical="center"/>
    </xf>
    <xf borderId="7" fillId="8" fontId="30" numFmtId="0" xfId="0" applyAlignment="1" applyBorder="1" applyFont="1">
      <alignment vertical="center"/>
    </xf>
    <xf borderId="10" fillId="8" fontId="33" numFmtId="0" xfId="0" applyAlignment="1" applyBorder="1" applyFont="1">
      <alignment vertical="center"/>
    </xf>
    <xf borderId="10" fillId="8" fontId="33" numFmtId="0" xfId="0" applyAlignment="1" applyBorder="1" applyFont="1">
      <alignment horizontal="right"/>
    </xf>
    <xf borderId="10" fillId="9" fontId="28" numFmtId="0" xfId="0" applyAlignment="1" applyBorder="1" applyFill="1" applyFont="1">
      <alignment vertical="center"/>
    </xf>
    <xf borderId="7" fillId="9" fontId="28" numFmtId="0" xfId="0" applyAlignment="1" applyBorder="1" applyFont="1">
      <alignment horizontal="center" vertical="center"/>
    </xf>
    <xf borderId="10" fillId="4" fontId="9" numFmtId="0" xfId="0" applyAlignment="1" applyBorder="1" applyFont="1">
      <alignment shrinkToFit="0" wrapText="1"/>
    </xf>
    <xf borderId="10" fillId="10" fontId="9" numFmtId="0" xfId="0" applyAlignment="1" applyBorder="1" applyFill="1" applyFont="1">
      <alignment horizontal="left"/>
    </xf>
    <xf borderId="10" fillId="0" fontId="9" numFmtId="0" xfId="0" applyAlignment="1" applyBorder="1" applyFont="1">
      <alignment vertical="center"/>
    </xf>
    <xf borderId="10" fillId="4" fontId="7" numFmtId="0" xfId="0" applyAlignment="1" applyBorder="1" applyFont="1">
      <alignment vertical="center"/>
    </xf>
    <xf borderId="11" fillId="0" fontId="2" numFmtId="0" xfId="0" applyBorder="1" applyFont="1"/>
    <xf borderId="12" fillId="0" fontId="2" numFmtId="0" xfId="0" applyBorder="1" applyFont="1"/>
    <xf borderId="7" fillId="9" fontId="28" numFmtId="0" xfId="0" applyAlignment="1" applyBorder="1" applyFont="1">
      <alignment vertical="center"/>
    </xf>
    <xf borderId="10" fillId="9" fontId="7" numFmtId="0" xfId="0" applyAlignment="1" applyBorder="1" applyFont="1">
      <alignment vertical="center"/>
    </xf>
    <xf borderId="10" fillId="11" fontId="34" numFmtId="0" xfId="0" applyAlignment="1" applyBorder="1" applyFill="1" applyFont="1">
      <alignment vertical="center"/>
    </xf>
    <xf borderId="7" fillId="11" fontId="30" numFmtId="0" xfId="0" applyAlignment="1" applyBorder="1" applyFont="1">
      <alignment horizontal="center" vertical="center"/>
    </xf>
    <xf borderId="10" fillId="5" fontId="35" numFmtId="0" xfId="0" applyBorder="1" applyFont="1"/>
    <xf borderId="10" fillId="5" fontId="7" numFmtId="0" xfId="0" applyAlignment="1" applyBorder="1" applyFont="1">
      <alignment vertical="center"/>
    </xf>
    <xf borderId="7" fillId="11" fontId="34" numFmtId="0" xfId="0" applyAlignment="1" applyBorder="1" applyFont="1">
      <alignment vertical="center"/>
    </xf>
    <xf borderId="10" fillId="11" fontId="36" numFmtId="0" xfId="0" applyAlignment="1" applyBorder="1" applyFont="1">
      <alignment vertical="center"/>
    </xf>
    <xf borderId="10" fillId="12" fontId="28" numFmtId="0" xfId="0" applyAlignment="1" applyBorder="1" applyFill="1" applyFont="1">
      <alignment vertical="center"/>
    </xf>
    <xf borderId="7" fillId="12" fontId="28" numFmtId="0" xfId="0" applyAlignment="1" applyBorder="1" applyFont="1">
      <alignment horizontal="center" vertical="center"/>
    </xf>
    <xf borderId="7" fillId="12" fontId="28" numFmtId="0" xfId="0" applyAlignment="1" applyBorder="1" applyFont="1">
      <alignment vertical="center"/>
    </xf>
    <xf borderId="10" fillId="12" fontId="7" numFmtId="0" xfId="0" applyAlignment="1" applyBorder="1" applyFont="1">
      <alignment vertical="center"/>
    </xf>
    <xf borderId="0" fillId="0" fontId="20" numFmtId="0" xfId="0" applyAlignment="1" applyFont="1">
      <alignment horizontal="right" vertical="center"/>
    </xf>
    <xf borderId="0" fillId="0" fontId="20" numFmtId="0" xfId="0" applyAlignment="1" applyFont="1">
      <alignment horizontal="right"/>
    </xf>
    <xf borderId="0" fillId="0" fontId="37" numFmtId="0" xfId="0" applyAlignment="1" applyFont="1">
      <alignment vertical="center"/>
    </xf>
    <xf borderId="0" fillId="0" fontId="38" numFmtId="0" xfId="0" applyAlignment="1" applyFont="1">
      <alignment vertical="center"/>
    </xf>
    <xf borderId="0" fillId="0" fontId="39" numFmtId="0" xfId="0" applyAlignment="1" applyFont="1">
      <alignment horizontal="right"/>
    </xf>
    <xf borderId="0" fillId="0" fontId="40" numFmtId="0" xfId="0" applyAlignment="1" applyFont="1">
      <alignment vertical="center"/>
    </xf>
    <xf borderId="10" fillId="0" fontId="41" numFmtId="0" xfId="0" applyAlignment="1" applyBorder="1" applyFont="1">
      <alignment horizontal="right"/>
    </xf>
    <xf borderId="7" fillId="13" fontId="17" numFmtId="0" xfId="0" applyAlignment="1" applyBorder="1" applyFill="1" applyFont="1">
      <alignment horizontal="center" vertical="center"/>
    </xf>
    <xf borderId="10" fillId="13" fontId="42" numFmtId="0" xfId="0" applyAlignment="1" applyBorder="1" applyFont="1">
      <alignment horizontal="center" vertical="center"/>
    </xf>
    <xf borderId="7" fillId="13" fontId="42" numFmtId="0" xfId="0" applyAlignment="1" applyBorder="1" applyFont="1">
      <alignment horizontal="center" vertical="center"/>
    </xf>
    <xf borderId="10" fillId="13" fontId="42" numFmtId="0" xfId="0" applyAlignment="1" applyBorder="1" applyFont="1">
      <alignment horizontal="center" shrinkToFit="0" vertical="center" wrapText="1"/>
    </xf>
    <xf borderId="10" fillId="13" fontId="42" numFmtId="164" xfId="0" applyAlignment="1" applyBorder="1" applyFont="1" applyNumberFormat="1">
      <alignment horizontal="center" shrinkToFit="0" vertical="center" wrapText="1"/>
    </xf>
    <xf borderId="10" fillId="7" fontId="40" numFmtId="0" xfId="0" applyAlignment="1" applyBorder="1" applyFont="1">
      <alignment vertical="center"/>
    </xf>
    <xf borderId="10" fillId="7" fontId="40" numFmtId="0" xfId="0" applyAlignment="1" applyBorder="1" applyFont="1">
      <alignment horizontal="center" shrinkToFit="0" vertical="center" wrapText="1"/>
    </xf>
    <xf borderId="10" fillId="7" fontId="40" numFmtId="0" xfId="0" applyAlignment="1" applyBorder="1" applyFont="1">
      <alignment horizontal="center" vertical="center"/>
    </xf>
    <xf borderId="10" fillId="7" fontId="20" numFmtId="0" xfId="0" applyAlignment="1" applyBorder="1" applyFont="1">
      <alignment vertical="center"/>
    </xf>
    <xf borderId="10" fillId="7" fontId="20" numFmtId="0" xfId="0" applyBorder="1" applyFont="1"/>
    <xf borderId="10" fillId="8" fontId="37" numFmtId="0" xfId="0" applyAlignment="1" applyBorder="1" applyFont="1">
      <alignment vertical="center"/>
    </xf>
    <xf borderId="7" fillId="8" fontId="37" numFmtId="0" xfId="0" applyAlignment="1" applyBorder="1" applyFont="1">
      <alignment horizontal="center" vertical="center"/>
    </xf>
    <xf borderId="10" fillId="4" fontId="43" numFmtId="0" xfId="0" applyBorder="1" applyFont="1"/>
    <xf borderId="10" fillId="0" fontId="43" numFmtId="0" xfId="0" applyBorder="1" applyFont="1"/>
    <xf borderId="10" fillId="0" fontId="44" numFmtId="0" xfId="0" applyBorder="1" applyFont="1"/>
    <xf borderId="10" fillId="0" fontId="29" numFmtId="0" xfId="0" applyAlignment="1" applyBorder="1" applyFont="1">
      <alignment vertical="center"/>
    </xf>
    <xf borderId="10" fillId="0" fontId="44" numFmtId="0" xfId="0" applyAlignment="1" applyBorder="1" applyFont="1">
      <alignment vertical="center"/>
    </xf>
    <xf borderId="7" fillId="8" fontId="37" numFmtId="0" xfId="0" applyAlignment="1" applyBorder="1" applyFont="1">
      <alignment vertical="center"/>
    </xf>
    <xf borderId="10" fillId="8" fontId="20" numFmtId="0" xfId="0" applyAlignment="1" applyBorder="1" applyFont="1">
      <alignment vertical="center"/>
    </xf>
    <xf borderId="10" fillId="8" fontId="20" numFmtId="0" xfId="0" applyAlignment="1" applyBorder="1" applyFont="1">
      <alignment horizontal="right"/>
    </xf>
    <xf borderId="10" fillId="9" fontId="40" numFmtId="0" xfId="0" applyAlignment="1" applyBorder="1" applyFont="1">
      <alignment vertical="center"/>
    </xf>
    <xf borderId="7" fillId="9" fontId="40" numFmtId="0" xfId="0" applyAlignment="1" applyBorder="1" applyFont="1">
      <alignment horizontal="center" vertical="center"/>
    </xf>
    <xf borderId="10" fillId="4" fontId="44" numFmtId="0" xfId="0" applyAlignment="1" applyBorder="1" applyFont="1">
      <alignment shrinkToFit="0" wrapText="1"/>
    </xf>
    <xf borderId="10" fillId="4" fontId="44" numFmtId="0" xfId="0" applyBorder="1" applyFont="1"/>
    <xf borderId="10" fillId="10" fontId="44" numFmtId="0" xfId="0" applyAlignment="1" applyBorder="1" applyFont="1">
      <alignment horizontal="left"/>
    </xf>
    <xf borderId="7" fillId="9" fontId="40" numFmtId="0" xfId="0" applyAlignment="1" applyBorder="1" applyFont="1">
      <alignment vertical="center"/>
    </xf>
    <xf borderId="10" fillId="9" fontId="20" numFmtId="0" xfId="0" applyAlignment="1" applyBorder="1" applyFont="1">
      <alignment vertical="center"/>
    </xf>
    <xf borderId="10" fillId="11" fontId="45" numFmtId="0" xfId="0" applyAlignment="1" applyBorder="1" applyFont="1">
      <alignment vertical="center"/>
    </xf>
    <xf borderId="7" fillId="11" fontId="37" numFmtId="0" xfId="0" applyAlignment="1" applyBorder="1" applyFont="1">
      <alignment horizontal="center" vertical="center"/>
    </xf>
    <xf borderId="0" fillId="0" fontId="23" numFmtId="0" xfId="0" applyFont="1"/>
    <xf borderId="7" fillId="11" fontId="45" numFmtId="0" xfId="0" applyAlignment="1" applyBorder="1" applyFont="1">
      <alignment vertical="center"/>
    </xf>
    <xf borderId="10" fillId="11" fontId="38" numFmtId="0" xfId="0" applyAlignment="1" applyBorder="1" applyFont="1">
      <alignment vertical="center"/>
    </xf>
    <xf borderId="10" fillId="12" fontId="40" numFmtId="0" xfId="0" applyAlignment="1" applyBorder="1" applyFont="1">
      <alignment vertical="center"/>
    </xf>
    <xf borderId="7" fillId="12" fontId="40" numFmtId="0" xfId="0" applyAlignment="1" applyBorder="1" applyFont="1">
      <alignment horizontal="center" vertical="center"/>
    </xf>
    <xf borderId="7" fillId="12" fontId="40" numFmtId="0" xfId="0" applyAlignment="1" applyBorder="1" applyFont="1">
      <alignment vertical="center"/>
    </xf>
    <xf borderId="10" fillId="12" fontId="20" numFmtId="0" xfId="0" applyAlignment="1" applyBorder="1" applyFont="1">
      <alignment vertical="center"/>
    </xf>
    <xf borderId="10" fillId="14" fontId="46" numFmtId="0" xfId="0" applyAlignment="1" applyBorder="1" applyFill="1" applyFont="1">
      <alignment vertical="center"/>
    </xf>
    <xf borderId="10" fillId="15" fontId="47" numFmtId="0" xfId="0" applyAlignment="1" applyBorder="1" applyFill="1" applyFont="1">
      <alignment shrinkToFit="0" vertical="center" wrapText="1"/>
    </xf>
    <xf borderId="10" fillId="15" fontId="48" numFmtId="0" xfId="0" applyAlignment="1" applyBorder="1" applyFont="1">
      <alignment shrinkToFit="0" vertical="center" wrapText="1"/>
    </xf>
    <xf borderId="10" fillId="16" fontId="47" numFmtId="0" xfId="0" applyAlignment="1" applyBorder="1" applyFill="1" applyFont="1">
      <alignment shrinkToFit="0" vertical="center" wrapText="1"/>
    </xf>
    <xf borderId="10" fillId="17" fontId="48" numFmtId="0" xfId="0" applyAlignment="1" applyBorder="1" applyFill="1" applyFont="1">
      <alignment shrinkToFit="0" vertical="center" wrapText="1"/>
    </xf>
    <xf borderId="10" fillId="18" fontId="29" numFmtId="0" xfId="0" applyAlignment="1" applyBorder="1" applyFill="1" applyFont="1">
      <alignment horizontal="center" vertical="bottom"/>
    </xf>
    <xf borderId="10" fillId="18" fontId="29" numFmtId="0" xfId="0" applyAlignment="1" applyBorder="1" applyFont="1">
      <alignment horizontal="center" vertical="bottom"/>
    </xf>
    <xf borderId="13" fillId="19" fontId="29" numFmtId="0" xfId="0" applyAlignment="1" applyBorder="1" applyFill="1" applyFont="1">
      <alignment horizontal="center" shrinkToFit="0" vertical="center" wrapText="1"/>
    </xf>
    <xf borderId="10" fillId="20" fontId="3" numFmtId="0" xfId="0" applyAlignment="1" applyBorder="1" applyFill="1" applyFont="1">
      <alignment shrinkToFit="0" vertical="top" wrapText="1"/>
    </xf>
    <xf borderId="10" fillId="20" fontId="3" numFmtId="0" xfId="0" applyAlignment="1" applyBorder="1" applyFont="1">
      <alignment shrinkToFit="0" vertical="top" wrapText="1"/>
    </xf>
    <xf borderId="14" fillId="0" fontId="2" numFmtId="0" xfId="0" applyBorder="1" applyFont="1"/>
    <xf borderId="10" fillId="21" fontId="3" numFmtId="0" xfId="0" applyAlignment="1" applyBorder="1" applyFill="1" applyFont="1">
      <alignment shrinkToFit="0" vertical="top" wrapText="1"/>
    </xf>
    <xf borderId="10" fillId="21" fontId="3" numFmtId="0" xfId="0" applyAlignment="1" applyBorder="1" applyFont="1">
      <alignment shrinkToFit="0" vertical="top" wrapText="1"/>
    </xf>
    <xf borderId="15" fillId="0" fontId="2" numFmtId="0" xfId="0" applyBorder="1" applyFont="1"/>
    <xf borderId="10" fillId="22" fontId="3" numFmtId="0" xfId="0" applyAlignment="1" applyBorder="1" applyFill="1" applyFont="1">
      <alignment shrinkToFit="0" vertical="top" wrapText="1"/>
    </xf>
    <xf borderId="10" fillId="9" fontId="3" numFmtId="0" xfId="0" applyAlignment="1" applyBorder="1" applyFont="1">
      <alignment shrinkToFit="0" vertical="top" wrapText="1"/>
    </xf>
    <xf borderId="10" fillId="22" fontId="3" numFmtId="0" xfId="0" applyAlignment="1" applyBorder="1" applyFont="1">
      <alignment shrinkToFit="0" vertical="top" wrapText="1"/>
    </xf>
    <xf borderId="10" fillId="23" fontId="3" numFmtId="0" xfId="0" applyAlignment="1" applyBorder="1" applyFill="1" applyFont="1">
      <alignment shrinkToFit="0" vertical="top" wrapText="1"/>
    </xf>
    <xf borderId="10" fillId="23" fontId="3" numFmtId="0" xfId="0" applyAlignment="1" applyBorder="1" applyFont="1">
      <alignment shrinkToFit="0" vertical="top" wrapText="1"/>
    </xf>
    <xf borderId="10" fillId="20" fontId="3" numFmtId="0" xfId="0" applyAlignment="1" applyBorder="1" applyFont="1">
      <alignment readingOrder="0" shrinkToFit="0" vertical="top" wrapText="1"/>
    </xf>
    <xf borderId="0" fillId="19" fontId="29" numFmtId="0" xfId="0" applyAlignment="1" applyFont="1">
      <alignment horizontal="center" vertical="center"/>
    </xf>
    <xf borderId="10" fillId="9" fontId="3" numFmtId="0" xfId="0" applyAlignment="1" applyBorder="1" applyFont="1">
      <alignment readingOrder="0" shrinkToFit="0" vertical="top" wrapText="1"/>
    </xf>
    <xf borderId="0" fillId="0" fontId="49" numFmtId="0" xfId="0" applyAlignment="1" applyFont="1">
      <alignment shrinkToFit="0" vertical="bottom" wrapText="0"/>
    </xf>
    <xf borderId="0" fillId="0" fontId="50" numFmtId="0" xfId="0" applyAlignment="1" applyFont="1">
      <alignment horizontal="center" shrinkToFit="0" vertical="bottom" wrapText="0"/>
    </xf>
    <xf borderId="0" fillId="0" fontId="51" numFmtId="0" xfId="0" applyAlignment="1" applyFont="1">
      <alignment shrinkToFit="0" vertical="bottom" wrapText="0"/>
    </xf>
    <xf borderId="10" fillId="0" fontId="52" numFmtId="0" xfId="0" applyAlignment="1" applyBorder="1" applyFont="1">
      <alignment shrinkToFit="0" vertical="bottom" wrapText="0"/>
    </xf>
    <xf borderId="10" fillId="0" fontId="52" numFmtId="0" xfId="0" applyAlignment="1" applyBorder="1" applyFont="1">
      <alignment horizontal="center" shrinkToFit="0" vertical="bottom" wrapText="0"/>
    </xf>
    <xf borderId="10" fillId="0" fontId="49" numFmtId="0" xfId="0" applyAlignment="1" applyBorder="1" applyFont="1">
      <alignment shrinkToFit="0" vertical="bottom" wrapText="0"/>
    </xf>
    <xf borderId="10" fillId="0" fontId="53" numFmtId="0" xfId="0" applyAlignment="1" applyBorder="1" applyFont="1">
      <alignment horizontal="center" shrinkToFit="0" vertical="bottom" wrapText="0"/>
    </xf>
    <xf borderId="10" fillId="0" fontId="50" numFmtId="0" xfId="0" applyAlignment="1" applyBorder="1" applyFont="1">
      <alignment horizontal="center" shrinkToFit="0" vertical="bottom" wrapText="0"/>
    </xf>
    <xf borderId="10" fillId="0" fontId="54" numFmtId="0" xfId="0" applyAlignment="1" applyBorder="1" applyFont="1">
      <alignment horizontal="center" shrinkToFit="0" vertical="bottom" wrapText="0"/>
    </xf>
    <xf borderId="0" fillId="0" fontId="54" numFmtId="0" xfId="0" applyAlignment="1" applyFont="1">
      <alignment horizontal="center" shrinkToFit="0" vertical="bottom" wrapText="0"/>
    </xf>
    <xf borderId="10" fillId="24" fontId="55" numFmtId="0" xfId="0" applyAlignment="1" applyBorder="1" applyFill="1" applyFont="1">
      <alignment horizontal="center" shrinkToFit="0" vertical="bottom" wrapText="0"/>
    </xf>
    <xf borderId="7" fillId="24" fontId="56" numFmtId="0" xfId="0" applyAlignment="1" applyBorder="1" applyFont="1">
      <alignment horizontal="center" shrinkToFit="0" vertical="bottom" wrapText="0"/>
    </xf>
    <xf borderId="13" fillId="0" fontId="55" numFmtId="0" xfId="0" applyAlignment="1" applyBorder="1" applyFont="1">
      <alignment horizontal="center" shrinkToFit="0" vertical="bottom" wrapText="0"/>
    </xf>
    <xf borderId="7" fillId="0" fontId="55" numFmtId="0" xfId="0" applyAlignment="1" applyBorder="1" applyFont="1">
      <alignment horizontal="center" shrinkToFit="0" vertical="bottom" wrapText="0"/>
    </xf>
    <xf borderId="10" fillId="0" fontId="51" numFmtId="0" xfId="0" applyAlignment="1" applyBorder="1" applyFont="1">
      <alignment shrinkToFit="0" vertical="bottom" wrapText="0"/>
    </xf>
    <xf borderId="10" fillId="0" fontId="51" numFmtId="0" xfId="0" applyAlignment="1" applyBorder="1" applyFont="1">
      <alignment horizontal="right" shrinkToFit="0" vertical="bottom" wrapText="0"/>
    </xf>
    <xf borderId="10" fillId="0" fontId="51" numFmtId="0" xfId="0" applyAlignment="1" applyBorder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36.71"/>
    <col customWidth="1" min="3" max="3" width="102.57"/>
    <col customWidth="1" min="4" max="4" width="10.14"/>
    <col customWidth="1" min="5" max="5" width="12.71"/>
    <col customWidth="1" min="6" max="6" width="9.57"/>
    <col customWidth="1" min="7" max="7" width="6.71"/>
    <col customWidth="1" min="8" max="8" width="13.29"/>
    <col customWidth="1" min="9" max="9" width="12.86"/>
    <col customWidth="1" min="10" max="10" width="6.29"/>
    <col customWidth="1" min="11" max="26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</row>
    <row r="2" ht="14.25" customHeight="1">
      <c r="A2" s="5"/>
      <c r="B2" s="6"/>
      <c r="C2" s="6"/>
      <c r="D2" s="6"/>
      <c r="E2" s="6"/>
      <c r="F2" s="6"/>
      <c r="G2" s="6"/>
      <c r="H2" s="6"/>
      <c r="I2" s="6"/>
      <c r="J2" s="7"/>
      <c r="K2" s="4"/>
    </row>
    <row r="3">
      <c r="A3" s="8" t="s">
        <v>1</v>
      </c>
      <c r="B3" s="9"/>
      <c r="C3" s="9"/>
      <c r="D3" s="9"/>
      <c r="E3" s="9"/>
      <c r="F3" s="9"/>
      <c r="G3" s="9"/>
      <c r="H3" s="9"/>
      <c r="I3" s="9"/>
      <c r="J3" s="10"/>
      <c r="K3" s="4"/>
    </row>
    <row r="4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2" t="s">
        <v>9</v>
      </c>
      <c r="I4" s="11" t="s">
        <v>10</v>
      </c>
      <c r="J4" s="11" t="s">
        <v>11</v>
      </c>
      <c r="K4" s="4"/>
    </row>
    <row r="5">
      <c r="A5" s="13" t="s">
        <v>12</v>
      </c>
      <c r="B5" s="9"/>
      <c r="C5" s="9"/>
      <c r="D5" s="9"/>
      <c r="E5" s="9"/>
      <c r="F5" s="9"/>
      <c r="G5" s="9"/>
      <c r="H5" s="9"/>
      <c r="I5" s="9"/>
      <c r="J5" s="10"/>
      <c r="K5" s="4"/>
    </row>
    <row r="6" ht="14.25" customHeight="1">
      <c r="A6" s="14" t="s">
        <v>13</v>
      </c>
      <c r="B6" s="15" t="s">
        <v>14</v>
      </c>
      <c r="C6" s="16" t="s">
        <v>15</v>
      </c>
      <c r="D6" s="14" t="s">
        <v>16</v>
      </c>
      <c r="E6" s="14">
        <v>1.0</v>
      </c>
      <c r="F6" s="14">
        <v>1.0</v>
      </c>
      <c r="G6" s="14" t="s">
        <v>17</v>
      </c>
      <c r="H6" s="14">
        <v>8.0</v>
      </c>
      <c r="I6" s="17" t="s">
        <v>18</v>
      </c>
      <c r="J6" s="14"/>
      <c r="K6" s="4"/>
    </row>
    <row r="7" ht="14.25" customHeight="1">
      <c r="A7" s="14" t="s">
        <v>19</v>
      </c>
      <c r="B7" s="15" t="s">
        <v>20</v>
      </c>
      <c r="C7" s="15" t="s">
        <v>21</v>
      </c>
      <c r="D7" s="14" t="s">
        <v>22</v>
      </c>
      <c r="E7" s="14">
        <v>1.0</v>
      </c>
      <c r="F7" s="14">
        <v>1.0</v>
      </c>
      <c r="G7" s="14" t="s">
        <v>17</v>
      </c>
      <c r="H7" s="14">
        <v>10.0</v>
      </c>
      <c r="I7" s="17" t="s">
        <v>23</v>
      </c>
      <c r="J7" s="14"/>
      <c r="K7" s="4"/>
    </row>
    <row r="8" ht="14.25" customHeight="1">
      <c r="A8" s="14" t="s">
        <v>24</v>
      </c>
      <c r="B8" s="15" t="s">
        <v>25</v>
      </c>
      <c r="C8" s="15" t="s">
        <v>26</v>
      </c>
      <c r="D8" s="14" t="s">
        <v>27</v>
      </c>
      <c r="E8" s="14">
        <v>1.0</v>
      </c>
      <c r="F8" s="14">
        <v>1.0</v>
      </c>
      <c r="G8" s="14" t="s">
        <v>17</v>
      </c>
      <c r="H8" s="14">
        <v>6.0</v>
      </c>
      <c r="I8" s="17" t="s">
        <v>28</v>
      </c>
      <c r="J8" s="14"/>
      <c r="K8" s="4"/>
    </row>
    <row r="9" ht="14.25" customHeight="1">
      <c r="A9" s="14" t="s">
        <v>29</v>
      </c>
      <c r="B9" s="15" t="s">
        <v>30</v>
      </c>
      <c r="C9" s="15" t="s">
        <v>31</v>
      </c>
      <c r="D9" s="14" t="s">
        <v>32</v>
      </c>
      <c r="E9" s="14">
        <v>1.0</v>
      </c>
      <c r="F9" s="14">
        <v>1.0</v>
      </c>
      <c r="G9" s="14" t="s">
        <v>17</v>
      </c>
      <c r="H9" s="14">
        <v>6.0</v>
      </c>
      <c r="I9" s="17" t="s">
        <v>23</v>
      </c>
      <c r="J9" s="14"/>
      <c r="K9" s="4"/>
    </row>
    <row r="10" ht="14.25" customHeight="1">
      <c r="A10" s="14" t="s">
        <v>33</v>
      </c>
      <c r="B10" s="18" t="s">
        <v>34</v>
      </c>
      <c r="C10" s="18" t="s">
        <v>35</v>
      </c>
      <c r="D10" s="14" t="s">
        <v>36</v>
      </c>
      <c r="E10" s="14">
        <v>1.0</v>
      </c>
      <c r="F10" s="14">
        <v>1.0</v>
      </c>
      <c r="G10" s="14" t="s">
        <v>17</v>
      </c>
      <c r="H10" s="14">
        <v>6.0</v>
      </c>
      <c r="I10" s="17" t="s">
        <v>37</v>
      </c>
      <c r="J10" s="14"/>
      <c r="K10" s="4"/>
    </row>
    <row r="11" ht="14.25" customHeight="1">
      <c r="A11" s="14" t="s">
        <v>38</v>
      </c>
      <c r="B11" s="18" t="s">
        <v>39</v>
      </c>
      <c r="C11" s="18" t="s">
        <v>40</v>
      </c>
      <c r="D11" s="14" t="s">
        <v>41</v>
      </c>
      <c r="E11" s="14">
        <v>1.0</v>
      </c>
      <c r="F11" s="14">
        <v>1.0</v>
      </c>
      <c r="G11" s="14" t="s">
        <v>17</v>
      </c>
      <c r="H11" s="14">
        <v>10.0</v>
      </c>
      <c r="I11" s="17" t="s">
        <v>37</v>
      </c>
      <c r="J11" s="14"/>
      <c r="K11" s="4"/>
    </row>
    <row r="12">
      <c r="A12" s="19" t="s">
        <v>42</v>
      </c>
      <c r="B12" s="9"/>
      <c r="C12" s="9"/>
      <c r="D12" s="9"/>
      <c r="E12" s="9"/>
      <c r="F12" s="9"/>
      <c r="G12" s="9"/>
      <c r="H12" s="9"/>
      <c r="I12" s="9"/>
      <c r="J12" s="10"/>
      <c r="K12" s="20"/>
      <c r="L12" s="20"/>
      <c r="M12" s="20"/>
    </row>
    <row r="13" ht="14.25" customHeight="1">
      <c r="A13" s="14" t="s">
        <v>43</v>
      </c>
      <c r="B13" s="15" t="s">
        <v>44</v>
      </c>
      <c r="C13" s="16" t="s">
        <v>45</v>
      </c>
      <c r="D13" s="14" t="s">
        <v>46</v>
      </c>
      <c r="E13" s="14">
        <v>2.0</v>
      </c>
      <c r="F13" s="14">
        <v>2.0</v>
      </c>
      <c r="G13" s="14" t="s">
        <v>17</v>
      </c>
      <c r="H13" s="14">
        <v>8.0</v>
      </c>
      <c r="I13" s="17" t="s">
        <v>47</v>
      </c>
      <c r="J13" s="14"/>
      <c r="K13" s="20"/>
      <c r="L13" s="20"/>
      <c r="M13" s="20"/>
    </row>
    <row r="14" ht="14.25" customHeight="1">
      <c r="A14" s="14" t="s">
        <v>48</v>
      </c>
      <c r="B14" s="15" t="s">
        <v>49</v>
      </c>
      <c r="C14" s="16" t="s">
        <v>50</v>
      </c>
      <c r="D14" s="14" t="s">
        <v>51</v>
      </c>
      <c r="E14" s="14">
        <v>2.0</v>
      </c>
      <c r="F14" s="14">
        <v>2.0</v>
      </c>
      <c r="G14" s="14" t="s">
        <v>17</v>
      </c>
      <c r="H14" s="14">
        <v>8.0</v>
      </c>
      <c r="I14" s="17" t="s">
        <v>28</v>
      </c>
      <c r="J14" s="14"/>
      <c r="K14" s="20"/>
      <c r="L14" s="20"/>
      <c r="M14" s="20"/>
    </row>
    <row r="15" ht="14.25" customHeight="1">
      <c r="A15" s="14" t="s">
        <v>52</v>
      </c>
      <c r="B15" s="15" t="s">
        <v>53</v>
      </c>
      <c r="C15" s="15" t="s">
        <v>54</v>
      </c>
      <c r="D15" s="14" t="s">
        <v>55</v>
      </c>
      <c r="E15" s="14">
        <v>2.0</v>
      </c>
      <c r="F15" s="14">
        <v>2.0</v>
      </c>
      <c r="G15" s="14" t="s">
        <v>17</v>
      </c>
      <c r="H15" s="14">
        <v>6.0</v>
      </c>
      <c r="I15" s="17" t="s">
        <v>23</v>
      </c>
      <c r="J15" s="14"/>
      <c r="K15" s="20"/>
      <c r="L15" s="20"/>
      <c r="M15" s="20"/>
    </row>
    <row r="16" ht="14.25" customHeight="1">
      <c r="A16" s="14" t="s">
        <v>56</v>
      </c>
      <c r="B16" s="15" t="s">
        <v>57</v>
      </c>
      <c r="C16" s="15" t="s">
        <v>58</v>
      </c>
      <c r="D16" s="14" t="s">
        <v>59</v>
      </c>
      <c r="E16" s="14">
        <v>2.0</v>
      </c>
      <c r="F16" s="14">
        <v>2.0</v>
      </c>
      <c r="G16" s="14" t="s">
        <v>17</v>
      </c>
      <c r="H16" s="14">
        <v>6.0</v>
      </c>
      <c r="I16" s="17" t="s">
        <v>28</v>
      </c>
      <c r="J16" s="14"/>
      <c r="K16" s="4"/>
    </row>
    <row r="17" ht="14.25" customHeight="1">
      <c r="A17" s="14" t="s">
        <v>60</v>
      </c>
      <c r="B17" s="18" t="s">
        <v>61</v>
      </c>
      <c r="C17" s="18" t="s">
        <v>62</v>
      </c>
      <c r="D17" s="14" t="s">
        <v>63</v>
      </c>
      <c r="E17" s="14">
        <v>2.0</v>
      </c>
      <c r="F17" s="14">
        <v>2.0</v>
      </c>
      <c r="G17" s="14" t="s">
        <v>17</v>
      </c>
      <c r="H17" s="14">
        <v>8.0</v>
      </c>
      <c r="I17" s="17" t="s">
        <v>37</v>
      </c>
      <c r="J17" s="14"/>
      <c r="K17" s="20"/>
      <c r="L17" s="20"/>
      <c r="M17" s="20"/>
    </row>
    <row r="18" ht="14.25" customHeight="1">
      <c r="A18" s="14" t="s">
        <v>64</v>
      </c>
      <c r="B18" s="18" t="s">
        <v>65</v>
      </c>
      <c r="C18" s="18" t="s">
        <v>66</v>
      </c>
      <c r="D18" s="14" t="s">
        <v>67</v>
      </c>
      <c r="E18" s="14">
        <v>2.0</v>
      </c>
      <c r="F18" s="14">
        <v>2.0</v>
      </c>
      <c r="G18" s="14" t="s">
        <v>17</v>
      </c>
      <c r="H18" s="14">
        <v>8.0</v>
      </c>
      <c r="I18" s="17" t="s">
        <v>37</v>
      </c>
      <c r="J18" s="14"/>
      <c r="K18" s="20"/>
      <c r="L18" s="20"/>
      <c r="M18" s="20"/>
    </row>
    <row r="19" ht="14.25" customHeight="1">
      <c r="A19" s="14" t="s">
        <v>68</v>
      </c>
      <c r="B19" s="18" t="s">
        <v>69</v>
      </c>
      <c r="C19" s="18" t="s">
        <v>70</v>
      </c>
      <c r="D19" s="14" t="s">
        <v>71</v>
      </c>
      <c r="E19" s="14">
        <v>2.0</v>
      </c>
      <c r="F19" s="14">
        <v>2.0</v>
      </c>
      <c r="G19" s="14" t="s">
        <v>17</v>
      </c>
      <c r="H19" s="14">
        <v>6.0</v>
      </c>
      <c r="I19" s="17" t="s">
        <v>18</v>
      </c>
      <c r="J19" s="14"/>
      <c r="K19" s="20"/>
      <c r="L19" s="20"/>
      <c r="M19" s="20"/>
    </row>
    <row r="20" ht="14.25" customHeight="1">
      <c r="A20" s="14" t="s">
        <v>72</v>
      </c>
      <c r="B20" s="18" t="s">
        <v>73</v>
      </c>
      <c r="C20" s="18" t="s">
        <v>74</v>
      </c>
      <c r="D20" s="14" t="s">
        <v>71</v>
      </c>
      <c r="E20" s="14">
        <v>2.0</v>
      </c>
      <c r="F20" s="14">
        <v>2.0</v>
      </c>
      <c r="G20" s="14" t="s">
        <v>17</v>
      </c>
      <c r="H20" s="21">
        <v>6.0</v>
      </c>
      <c r="I20" s="21" t="s">
        <v>23</v>
      </c>
      <c r="J20" s="22"/>
      <c r="K20" s="20"/>
      <c r="L20" s="20"/>
      <c r="M20" s="20"/>
    </row>
    <row r="21" ht="14.25" customHeight="1">
      <c r="A21" s="14" t="s">
        <v>75</v>
      </c>
      <c r="B21" s="18" t="s">
        <v>76</v>
      </c>
      <c r="C21" s="18" t="s">
        <v>77</v>
      </c>
      <c r="D21" s="14" t="s">
        <v>78</v>
      </c>
      <c r="E21" s="14">
        <v>2.0</v>
      </c>
      <c r="F21" s="14">
        <v>2.0</v>
      </c>
      <c r="G21" s="14" t="s">
        <v>17</v>
      </c>
      <c r="H21" s="21">
        <v>6.0</v>
      </c>
      <c r="I21" s="21" t="s">
        <v>47</v>
      </c>
      <c r="J21" s="22"/>
      <c r="K21" s="20"/>
      <c r="L21" s="20"/>
      <c r="M21" s="20"/>
    </row>
    <row r="22">
      <c r="A22" s="23" t="s">
        <v>79</v>
      </c>
      <c r="B22" s="9"/>
      <c r="C22" s="9"/>
      <c r="D22" s="9"/>
      <c r="E22" s="9"/>
      <c r="F22" s="9"/>
      <c r="G22" s="9"/>
      <c r="H22" s="9"/>
      <c r="I22" s="9"/>
      <c r="J22" s="10"/>
      <c r="K22" s="20"/>
      <c r="L22" s="20"/>
      <c r="M22" s="20"/>
    </row>
    <row r="23" ht="14.25" customHeight="1">
      <c r="A23" s="14" t="s">
        <v>80</v>
      </c>
      <c r="B23" s="15" t="s">
        <v>81</v>
      </c>
      <c r="C23" s="15" t="s">
        <v>82</v>
      </c>
      <c r="D23" s="14" t="s">
        <v>83</v>
      </c>
      <c r="E23" s="14">
        <v>3.0</v>
      </c>
      <c r="F23" s="14">
        <v>3.0</v>
      </c>
      <c r="G23" s="14" t="s">
        <v>17</v>
      </c>
      <c r="H23" s="14">
        <v>9.0</v>
      </c>
      <c r="I23" s="17" t="s">
        <v>37</v>
      </c>
      <c r="J23" s="14"/>
      <c r="K23" s="20"/>
      <c r="L23" s="20"/>
      <c r="M23" s="20"/>
    </row>
    <row r="24" ht="14.25" customHeight="1">
      <c r="A24" s="14" t="s">
        <v>84</v>
      </c>
      <c r="B24" s="15" t="s">
        <v>85</v>
      </c>
      <c r="C24" s="15" t="s">
        <v>86</v>
      </c>
      <c r="D24" s="14" t="s">
        <v>87</v>
      </c>
      <c r="E24" s="14">
        <v>3.0</v>
      </c>
      <c r="F24" s="14">
        <v>3.0</v>
      </c>
      <c r="G24" s="14" t="s">
        <v>17</v>
      </c>
      <c r="H24" s="14">
        <v>8.0</v>
      </c>
      <c r="I24" s="17" t="s">
        <v>47</v>
      </c>
      <c r="J24" s="14"/>
      <c r="K24" s="20"/>
      <c r="L24" s="20"/>
      <c r="M24" s="20"/>
    </row>
    <row r="25" ht="14.25" customHeight="1">
      <c r="A25" s="14" t="s">
        <v>88</v>
      </c>
      <c r="B25" s="15" t="s">
        <v>89</v>
      </c>
      <c r="C25" s="15" t="s">
        <v>90</v>
      </c>
      <c r="D25" s="14" t="s">
        <v>91</v>
      </c>
      <c r="E25" s="14">
        <v>3.0</v>
      </c>
      <c r="F25" s="14">
        <v>3.0</v>
      </c>
      <c r="G25" s="14" t="s">
        <v>17</v>
      </c>
      <c r="H25" s="14">
        <v>10.0</v>
      </c>
      <c r="I25" s="17" t="s">
        <v>23</v>
      </c>
      <c r="J25" s="14"/>
      <c r="K25" s="20"/>
      <c r="L25" s="20"/>
      <c r="M25" s="20"/>
    </row>
    <row r="26" ht="14.25" customHeight="1">
      <c r="A26" s="14" t="s">
        <v>92</v>
      </c>
      <c r="B26" s="24" t="s">
        <v>93</v>
      </c>
      <c r="C26" s="25" t="s">
        <v>94</v>
      </c>
      <c r="D26" s="14" t="s">
        <v>95</v>
      </c>
      <c r="E26" s="14">
        <v>3.0</v>
      </c>
      <c r="F26" s="14">
        <v>3.0</v>
      </c>
      <c r="G26" s="14" t="s">
        <v>17</v>
      </c>
      <c r="H26" s="14">
        <v>8.0</v>
      </c>
      <c r="I26" s="17" t="s">
        <v>28</v>
      </c>
      <c r="J26" s="14"/>
      <c r="K26" s="4"/>
    </row>
    <row r="27" ht="14.25" customHeight="1">
      <c r="A27" s="14" t="s">
        <v>96</v>
      </c>
      <c r="B27" s="24" t="s">
        <v>97</v>
      </c>
      <c r="C27" s="15" t="s">
        <v>98</v>
      </c>
      <c r="D27" s="14" t="s">
        <v>99</v>
      </c>
      <c r="E27" s="14">
        <v>3.0</v>
      </c>
      <c r="F27" s="14">
        <v>3.0</v>
      </c>
      <c r="G27" s="14" t="s">
        <v>17</v>
      </c>
      <c r="H27" s="14">
        <v>8.0</v>
      </c>
      <c r="I27" s="17" t="s">
        <v>47</v>
      </c>
      <c r="J27" s="14"/>
      <c r="K27" s="4"/>
    </row>
    <row r="28" ht="14.25" customHeight="1">
      <c r="A28" s="14" t="s">
        <v>100</v>
      </c>
      <c r="B28" s="24" t="s">
        <v>101</v>
      </c>
      <c r="C28" s="15" t="s">
        <v>102</v>
      </c>
      <c r="D28" s="14" t="s">
        <v>103</v>
      </c>
      <c r="E28" s="14">
        <v>3.0</v>
      </c>
      <c r="F28" s="14">
        <v>3.0</v>
      </c>
      <c r="G28" s="14" t="s">
        <v>17</v>
      </c>
      <c r="H28" s="14">
        <v>6.0</v>
      </c>
      <c r="I28" s="17" t="s">
        <v>18</v>
      </c>
      <c r="J28" s="14"/>
      <c r="K28" s="4"/>
    </row>
    <row r="29" ht="14.25" customHeight="1">
      <c r="A29" s="14" t="s">
        <v>104</v>
      </c>
      <c r="B29" s="18" t="s">
        <v>105</v>
      </c>
      <c r="C29" s="18" t="s">
        <v>106</v>
      </c>
      <c r="D29" s="21" t="s">
        <v>107</v>
      </c>
      <c r="E29" s="21">
        <v>3.0</v>
      </c>
      <c r="F29" s="21">
        <v>3.0</v>
      </c>
      <c r="G29" s="14" t="s">
        <v>17</v>
      </c>
      <c r="H29" s="21">
        <v>6.0</v>
      </c>
      <c r="I29" s="21" t="s">
        <v>37</v>
      </c>
      <c r="J29" s="22"/>
      <c r="K29" s="4"/>
    </row>
    <row r="30" ht="14.25" customHeight="1">
      <c r="A30" s="14" t="s">
        <v>108</v>
      </c>
      <c r="B30" s="18" t="s">
        <v>30</v>
      </c>
      <c r="C30" s="18" t="s">
        <v>109</v>
      </c>
      <c r="D30" s="21" t="s">
        <v>110</v>
      </c>
      <c r="E30" s="21">
        <v>3.0</v>
      </c>
      <c r="F30" s="21">
        <v>3.0</v>
      </c>
      <c r="G30" s="14" t="s">
        <v>17</v>
      </c>
      <c r="H30" s="21">
        <v>6.0</v>
      </c>
      <c r="I30" s="21" t="s">
        <v>23</v>
      </c>
      <c r="J30" s="22"/>
      <c r="K30" s="4"/>
    </row>
    <row r="31" ht="14.25" customHeight="1">
      <c r="A31" s="14" t="s">
        <v>111</v>
      </c>
      <c r="B31" s="18" t="s">
        <v>112</v>
      </c>
      <c r="C31" s="18" t="s">
        <v>113</v>
      </c>
      <c r="D31" s="21" t="s">
        <v>114</v>
      </c>
      <c r="E31" s="21">
        <v>3.0</v>
      </c>
      <c r="F31" s="21">
        <v>3.0</v>
      </c>
      <c r="G31" s="14" t="s">
        <v>17</v>
      </c>
      <c r="H31" s="21">
        <v>8.0</v>
      </c>
      <c r="I31" s="21" t="s">
        <v>23</v>
      </c>
      <c r="J31" s="22"/>
      <c r="K31" s="4"/>
    </row>
    <row r="32" ht="14.25" customHeight="1">
      <c r="A32" s="14" t="s">
        <v>115</v>
      </c>
      <c r="B32" s="18" t="s">
        <v>116</v>
      </c>
      <c r="C32" s="18" t="s">
        <v>117</v>
      </c>
      <c r="D32" s="21" t="s">
        <v>118</v>
      </c>
      <c r="E32" s="21">
        <v>3.0</v>
      </c>
      <c r="F32" s="21">
        <v>3.0</v>
      </c>
      <c r="G32" s="14" t="s">
        <v>17</v>
      </c>
      <c r="H32" s="21">
        <v>6.0</v>
      </c>
      <c r="I32" s="21" t="s">
        <v>28</v>
      </c>
      <c r="J32" s="22"/>
      <c r="K32" s="4"/>
    </row>
    <row r="33" ht="14.25" customHeight="1">
      <c r="A33" s="14" t="s">
        <v>119</v>
      </c>
      <c r="B33" s="18" t="s">
        <v>120</v>
      </c>
      <c r="C33" s="18" t="s">
        <v>121</v>
      </c>
      <c r="D33" s="21" t="s">
        <v>122</v>
      </c>
      <c r="E33" s="21">
        <v>3.0</v>
      </c>
      <c r="F33" s="21">
        <v>3.0</v>
      </c>
      <c r="G33" s="14" t="s">
        <v>17</v>
      </c>
      <c r="H33" s="21">
        <v>6.0</v>
      </c>
      <c r="I33" s="21" t="s">
        <v>28</v>
      </c>
      <c r="J33" s="22"/>
      <c r="K33" s="4"/>
    </row>
    <row r="34">
      <c r="A34" s="23" t="s">
        <v>123</v>
      </c>
      <c r="B34" s="9"/>
      <c r="C34" s="9"/>
      <c r="D34" s="9"/>
      <c r="E34" s="9"/>
      <c r="F34" s="9"/>
      <c r="G34" s="9"/>
      <c r="H34" s="9"/>
      <c r="I34" s="9"/>
      <c r="J34" s="10"/>
      <c r="K34" s="4"/>
    </row>
    <row r="35" ht="14.25" customHeight="1">
      <c r="A35" s="14" t="s">
        <v>124</v>
      </c>
      <c r="B35" s="15" t="s">
        <v>125</v>
      </c>
      <c r="C35" s="15" t="s">
        <v>126</v>
      </c>
      <c r="D35" s="14" t="s">
        <v>127</v>
      </c>
      <c r="E35" s="14">
        <v>4.0</v>
      </c>
      <c r="F35" s="14">
        <v>4.0</v>
      </c>
      <c r="G35" s="14" t="s">
        <v>17</v>
      </c>
      <c r="H35" s="14">
        <v>8.0</v>
      </c>
      <c r="I35" s="17" t="s">
        <v>47</v>
      </c>
      <c r="J35" s="14"/>
      <c r="K35" s="4"/>
    </row>
    <row r="36" ht="14.25" customHeight="1">
      <c r="A36" s="14" t="s">
        <v>128</v>
      </c>
      <c r="B36" s="15" t="s">
        <v>129</v>
      </c>
      <c r="C36" s="15" t="s">
        <v>130</v>
      </c>
      <c r="D36" s="14" t="s">
        <v>131</v>
      </c>
      <c r="E36" s="14">
        <v>4.0</v>
      </c>
      <c r="F36" s="14">
        <v>4.0</v>
      </c>
      <c r="G36" s="14" t="s">
        <v>17</v>
      </c>
      <c r="H36" s="14">
        <v>8.0</v>
      </c>
      <c r="I36" s="17" t="s">
        <v>23</v>
      </c>
      <c r="J36" s="14"/>
      <c r="K36" s="4"/>
    </row>
    <row r="37" ht="14.25" customHeight="1">
      <c r="A37" s="14" t="s">
        <v>132</v>
      </c>
      <c r="B37" s="24" t="s">
        <v>133</v>
      </c>
      <c r="C37" s="25" t="s">
        <v>134</v>
      </c>
      <c r="D37" s="14" t="s">
        <v>135</v>
      </c>
      <c r="E37" s="14">
        <v>4.0</v>
      </c>
      <c r="F37" s="14">
        <v>4.0</v>
      </c>
      <c r="G37" s="14" t="s">
        <v>17</v>
      </c>
      <c r="H37" s="14">
        <v>6.0</v>
      </c>
      <c r="I37" s="17" t="s">
        <v>28</v>
      </c>
      <c r="J37" s="14"/>
      <c r="K37" s="4"/>
    </row>
    <row r="38" ht="14.25" customHeight="1">
      <c r="A38" s="14" t="s">
        <v>136</v>
      </c>
      <c r="B38" s="24" t="s">
        <v>137</v>
      </c>
      <c r="C38" s="25" t="s">
        <v>138</v>
      </c>
      <c r="D38" s="14" t="s">
        <v>139</v>
      </c>
      <c r="E38" s="14">
        <v>4.0</v>
      </c>
      <c r="F38" s="14">
        <v>4.0</v>
      </c>
      <c r="G38" s="14" t="s">
        <v>17</v>
      </c>
      <c r="H38" s="14">
        <v>6.0</v>
      </c>
      <c r="I38" s="17" t="s">
        <v>37</v>
      </c>
      <c r="J38" s="14"/>
      <c r="K38" s="4"/>
    </row>
    <row r="39" ht="14.25" customHeight="1">
      <c r="A39" s="14" t="s">
        <v>140</v>
      </c>
      <c r="B39" s="24" t="s">
        <v>141</v>
      </c>
      <c r="C39" s="25" t="s">
        <v>142</v>
      </c>
      <c r="D39" s="14" t="s">
        <v>143</v>
      </c>
      <c r="E39" s="14">
        <v>4.0</v>
      </c>
      <c r="F39" s="14">
        <v>4.0</v>
      </c>
      <c r="G39" s="14" t="s">
        <v>17</v>
      </c>
      <c r="H39" s="14">
        <v>6.0</v>
      </c>
      <c r="I39" s="17" t="s">
        <v>18</v>
      </c>
      <c r="J39" s="14"/>
      <c r="K39" s="4"/>
    </row>
    <row r="40" ht="14.25" customHeight="1">
      <c r="A40" s="14" t="s">
        <v>144</v>
      </c>
      <c r="B40" s="24" t="s">
        <v>145</v>
      </c>
      <c r="C40" s="25" t="s">
        <v>146</v>
      </c>
      <c r="D40" s="14" t="s">
        <v>147</v>
      </c>
      <c r="E40" s="14">
        <v>4.0</v>
      </c>
      <c r="F40" s="14">
        <v>4.0</v>
      </c>
      <c r="G40" s="14" t="s">
        <v>17</v>
      </c>
      <c r="H40" s="14">
        <v>10.0</v>
      </c>
      <c r="I40" s="17" t="s">
        <v>18</v>
      </c>
      <c r="J40" s="14"/>
      <c r="K40" s="4"/>
    </row>
    <row r="41" ht="14.25" customHeight="1">
      <c r="A41" s="14" t="s">
        <v>148</v>
      </c>
      <c r="B41" s="24" t="s">
        <v>149</v>
      </c>
      <c r="C41" s="25" t="s">
        <v>150</v>
      </c>
      <c r="D41" s="14" t="s">
        <v>151</v>
      </c>
      <c r="E41" s="14">
        <v>4.0</v>
      </c>
      <c r="F41" s="14">
        <v>4.0</v>
      </c>
      <c r="G41" s="14" t="s">
        <v>17</v>
      </c>
      <c r="H41" s="14">
        <v>8.0</v>
      </c>
      <c r="I41" s="17" t="s">
        <v>47</v>
      </c>
      <c r="J41" s="14"/>
      <c r="K41" s="4"/>
    </row>
    <row r="42" ht="14.25" customHeight="1">
      <c r="A42" s="14" t="s">
        <v>152</v>
      </c>
      <c r="B42" s="24" t="s">
        <v>153</v>
      </c>
      <c r="C42" s="25" t="s">
        <v>154</v>
      </c>
      <c r="D42" s="14" t="s">
        <v>155</v>
      </c>
      <c r="E42" s="14">
        <v>4.0</v>
      </c>
      <c r="F42" s="14">
        <v>4.0</v>
      </c>
      <c r="G42" s="14" t="s">
        <v>17</v>
      </c>
      <c r="H42" s="14">
        <v>8.0</v>
      </c>
      <c r="I42" s="17" t="s">
        <v>28</v>
      </c>
      <c r="J42" s="14"/>
      <c r="K42" s="4"/>
    </row>
    <row r="43" ht="14.25" customHeight="1">
      <c r="A43" s="26"/>
      <c r="B43" s="27"/>
      <c r="C43" s="27"/>
      <c r="D43" s="27"/>
      <c r="E43" s="27"/>
      <c r="F43" s="27"/>
      <c r="G43" s="27"/>
      <c r="H43" s="27"/>
      <c r="I43" s="27"/>
      <c r="J43" s="27"/>
    </row>
    <row r="44" ht="14.25" customHeight="1">
      <c r="A44" s="28"/>
      <c r="B44" s="29"/>
      <c r="C44" s="28"/>
      <c r="D44" s="28"/>
      <c r="E44" s="28"/>
      <c r="F44" s="28"/>
      <c r="G44" s="28"/>
      <c r="H44" s="28"/>
      <c r="I44" s="28"/>
      <c r="J44" s="28"/>
      <c r="K44" s="4"/>
    </row>
    <row r="45" ht="14.25" customHeight="1">
      <c r="A45" s="28"/>
      <c r="B45" s="29"/>
      <c r="C45" s="28"/>
      <c r="D45" s="28"/>
      <c r="E45" s="28"/>
      <c r="F45" s="28"/>
      <c r="G45" s="28"/>
      <c r="H45" s="28"/>
      <c r="I45" s="28"/>
      <c r="J45" s="28"/>
      <c r="K45" s="4"/>
    </row>
    <row r="46" ht="14.25" customHeight="1">
      <c r="A46" s="30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ht="14.25" customHeight="1">
      <c r="A47" s="28"/>
      <c r="B47" s="29"/>
      <c r="C47" s="28"/>
      <c r="D47" s="28"/>
      <c r="E47" s="28"/>
      <c r="F47" s="28"/>
      <c r="G47" s="28"/>
      <c r="H47" s="28"/>
      <c r="I47" s="28"/>
      <c r="J47" s="28"/>
      <c r="K47" s="4"/>
    </row>
    <row r="48">
      <c r="A48" s="31" t="s">
        <v>156</v>
      </c>
      <c r="B48" s="9"/>
      <c r="C48" s="9"/>
      <c r="D48" s="9"/>
      <c r="E48" s="9"/>
      <c r="F48" s="9"/>
      <c r="G48" s="9"/>
      <c r="H48" s="9"/>
      <c r="I48" s="9"/>
      <c r="J48" s="10"/>
      <c r="K48" s="4"/>
    </row>
    <row r="49">
      <c r="A49" s="32" t="s">
        <v>2</v>
      </c>
      <c r="B49" s="32" t="s">
        <v>3</v>
      </c>
      <c r="C49" s="32" t="s">
        <v>4</v>
      </c>
      <c r="D49" s="32" t="s">
        <v>5</v>
      </c>
      <c r="E49" s="32" t="s">
        <v>6</v>
      </c>
      <c r="F49" s="32" t="s">
        <v>7</v>
      </c>
      <c r="G49" s="32" t="s">
        <v>8</v>
      </c>
      <c r="H49" s="33" t="s">
        <v>9</v>
      </c>
      <c r="I49" s="32" t="s">
        <v>10</v>
      </c>
      <c r="J49" s="32" t="s">
        <v>11</v>
      </c>
      <c r="K49" s="4"/>
    </row>
    <row r="50">
      <c r="A50" s="34" t="s">
        <v>157</v>
      </c>
      <c r="B50" s="9"/>
      <c r="C50" s="9"/>
      <c r="D50" s="9"/>
      <c r="E50" s="9"/>
      <c r="F50" s="9"/>
      <c r="G50" s="9"/>
      <c r="H50" s="9"/>
      <c r="I50" s="9"/>
      <c r="J50" s="10"/>
      <c r="K50" s="4"/>
    </row>
    <row r="51" ht="14.25" customHeight="1">
      <c r="A51" s="35" t="s">
        <v>13</v>
      </c>
      <c r="B51" s="36" t="s">
        <v>14</v>
      </c>
      <c r="C51" s="37" t="s">
        <v>15</v>
      </c>
      <c r="D51" s="35">
        <v>1.0</v>
      </c>
      <c r="E51" s="35">
        <v>1.0</v>
      </c>
      <c r="F51" s="35">
        <v>1.0</v>
      </c>
      <c r="G51" s="35" t="s">
        <v>17</v>
      </c>
      <c r="H51" s="35">
        <v>8.0</v>
      </c>
      <c r="I51" s="38" t="s">
        <v>18</v>
      </c>
      <c r="J51" s="35"/>
      <c r="K51" s="4"/>
    </row>
    <row r="52" ht="14.25" customHeight="1">
      <c r="A52" s="35" t="s">
        <v>19</v>
      </c>
      <c r="B52" s="36" t="s">
        <v>20</v>
      </c>
      <c r="C52" s="36" t="s">
        <v>21</v>
      </c>
      <c r="D52" s="35">
        <v>1.0</v>
      </c>
      <c r="E52" s="35">
        <v>1.0</v>
      </c>
      <c r="F52" s="35">
        <v>1.0</v>
      </c>
      <c r="G52" s="35" t="s">
        <v>17</v>
      </c>
      <c r="H52" s="35">
        <v>10.0</v>
      </c>
      <c r="I52" s="38" t="s">
        <v>23</v>
      </c>
      <c r="J52" s="35"/>
      <c r="K52" s="4"/>
    </row>
    <row r="53" ht="14.25" customHeight="1">
      <c r="A53" s="35" t="s">
        <v>24</v>
      </c>
      <c r="B53" s="36" t="s">
        <v>25</v>
      </c>
      <c r="C53" s="36" t="s">
        <v>26</v>
      </c>
      <c r="D53" s="35">
        <v>1.0</v>
      </c>
      <c r="E53" s="35">
        <v>1.0</v>
      </c>
      <c r="F53" s="35">
        <v>1.0</v>
      </c>
      <c r="G53" s="35" t="s">
        <v>17</v>
      </c>
      <c r="H53" s="35">
        <v>6.0</v>
      </c>
      <c r="I53" s="38" t="s">
        <v>28</v>
      </c>
      <c r="J53" s="35"/>
    </row>
    <row r="54" ht="14.25" customHeight="1">
      <c r="A54" s="35" t="s">
        <v>29</v>
      </c>
      <c r="B54" s="36" t="s">
        <v>30</v>
      </c>
      <c r="C54" s="36" t="s">
        <v>31</v>
      </c>
      <c r="D54" s="35">
        <v>1.0</v>
      </c>
      <c r="E54" s="35">
        <v>1.0</v>
      </c>
      <c r="F54" s="35">
        <v>1.0</v>
      </c>
      <c r="G54" s="35" t="s">
        <v>17</v>
      </c>
      <c r="H54" s="35">
        <v>6.0</v>
      </c>
      <c r="I54" s="38" t="s">
        <v>23</v>
      </c>
      <c r="J54" s="35"/>
    </row>
    <row r="55" ht="14.25" customHeight="1">
      <c r="A55" s="35" t="s">
        <v>33</v>
      </c>
      <c r="B55" s="39" t="s">
        <v>34</v>
      </c>
      <c r="C55" s="39" t="s">
        <v>35</v>
      </c>
      <c r="D55" s="35">
        <v>1.0</v>
      </c>
      <c r="E55" s="35">
        <v>1.0</v>
      </c>
      <c r="F55" s="35">
        <v>1.0</v>
      </c>
      <c r="G55" s="35" t="s">
        <v>17</v>
      </c>
      <c r="H55" s="35">
        <v>6.0</v>
      </c>
      <c r="I55" s="38" t="s">
        <v>37</v>
      </c>
      <c r="J55" s="35"/>
    </row>
    <row r="56" ht="14.25" customHeight="1">
      <c r="A56" s="35" t="s">
        <v>38</v>
      </c>
      <c r="B56" s="39" t="s">
        <v>39</v>
      </c>
      <c r="C56" s="39" t="s">
        <v>40</v>
      </c>
      <c r="D56" s="35">
        <v>1.0</v>
      </c>
      <c r="E56" s="35">
        <v>1.0</v>
      </c>
      <c r="F56" s="35">
        <v>1.0</v>
      </c>
      <c r="G56" s="35" t="s">
        <v>17</v>
      </c>
      <c r="H56" s="35">
        <v>10.0</v>
      </c>
      <c r="I56" s="38" t="s">
        <v>37</v>
      </c>
      <c r="J56" s="35"/>
    </row>
    <row r="57">
      <c r="A57" s="40" t="s">
        <v>158</v>
      </c>
      <c r="B57" s="9"/>
      <c r="C57" s="9"/>
      <c r="D57" s="9"/>
      <c r="E57" s="9"/>
      <c r="F57" s="9"/>
      <c r="G57" s="9"/>
      <c r="H57" s="9"/>
      <c r="I57" s="9"/>
      <c r="J57" s="10"/>
    </row>
    <row r="58" ht="14.25" customHeight="1">
      <c r="A58" s="35" t="s">
        <v>43</v>
      </c>
      <c r="B58" s="36" t="s">
        <v>44</v>
      </c>
      <c r="C58" s="37" t="s">
        <v>45</v>
      </c>
      <c r="D58" s="35">
        <v>2.0</v>
      </c>
      <c r="E58" s="35">
        <v>2.0</v>
      </c>
      <c r="F58" s="35">
        <v>2.0</v>
      </c>
      <c r="G58" s="35" t="s">
        <v>17</v>
      </c>
      <c r="H58" s="35">
        <v>8.0</v>
      </c>
      <c r="I58" s="38" t="s">
        <v>47</v>
      </c>
      <c r="J58" s="35"/>
    </row>
    <row r="59" ht="14.25" customHeight="1">
      <c r="A59" s="35" t="s">
        <v>48</v>
      </c>
      <c r="B59" s="36" t="s">
        <v>159</v>
      </c>
      <c r="C59" s="37" t="s">
        <v>160</v>
      </c>
      <c r="D59" s="35">
        <v>2.0</v>
      </c>
      <c r="E59" s="35">
        <v>2.0</v>
      </c>
      <c r="F59" s="35">
        <v>2.0</v>
      </c>
      <c r="G59" s="35" t="s">
        <v>17</v>
      </c>
      <c r="H59" s="35">
        <v>8.0</v>
      </c>
      <c r="I59" s="38" t="s">
        <v>28</v>
      </c>
      <c r="J59" s="35"/>
    </row>
    <row r="60" ht="14.25" customHeight="1">
      <c r="A60" s="35" t="s">
        <v>52</v>
      </c>
      <c r="B60" s="36" t="s">
        <v>53</v>
      </c>
      <c r="C60" s="36" t="s">
        <v>54</v>
      </c>
      <c r="D60" s="35">
        <v>2.0</v>
      </c>
      <c r="E60" s="35">
        <v>2.0</v>
      </c>
      <c r="F60" s="35">
        <v>2.0</v>
      </c>
      <c r="G60" s="35" t="s">
        <v>17</v>
      </c>
      <c r="H60" s="35">
        <v>6.0</v>
      </c>
      <c r="I60" s="38" t="s">
        <v>23</v>
      </c>
      <c r="J60" s="35"/>
    </row>
    <row r="61" ht="14.25" customHeight="1">
      <c r="A61" s="35" t="s">
        <v>56</v>
      </c>
      <c r="B61" s="36" t="s">
        <v>57</v>
      </c>
      <c r="C61" s="36" t="s">
        <v>58</v>
      </c>
      <c r="D61" s="35">
        <v>2.0</v>
      </c>
      <c r="E61" s="35">
        <v>2.0</v>
      </c>
      <c r="F61" s="35">
        <v>2.0</v>
      </c>
      <c r="G61" s="35" t="s">
        <v>17</v>
      </c>
      <c r="H61" s="35">
        <v>6.0</v>
      </c>
      <c r="I61" s="38" t="s">
        <v>28</v>
      </c>
      <c r="J61" s="35"/>
    </row>
    <row r="62" ht="14.25" customHeight="1">
      <c r="A62" s="35" t="s">
        <v>60</v>
      </c>
      <c r="B62" s="39" t="s">
        <v>61</v>
      </c>
      <c r="C62" s="39" t="s">
        <v>62</v>
      </c>
      <c r="D62" s="35">
        <v>2.0</v>
      </c>
      <c r="E62" s="35">
        <v>2.0</v>
      </c>
      <c r="F62" s="35">
        <v>2.0</v>
      </c>
      <c r="G62" s="35" t="s">
        <v>17</v>
      </c>
      <c r="H62" s="35">
        <v>8.0</v>
      </c>
      <c r="I62" s="38" t="s">
        <v>37</v>
      </c>
      <c r="J62" s="35"/>
    </row>
    <row r="63" ht="14.25" customHeight="1">
      <c r="A63" s="35" t="s">
        <v>64</v>
      </c>
      <c r="B63" s="39" t="s">
        <v>65</v>
      </c>
      <c r="C63" s="39" t="s">
        <v>66</v>
      </c>
      <c r="D63" s="35">
        <v>2.0</v>
      </c>
      <c r="E63" s="35">
        <v>2.0</v>
      </c>
      <c r="F63" s="35">
        <v>2.0</v>
      </c>
      <c r="G63" s="35" t="s">
        <v>17</v>
      </c>
      <c r="H63" s="35">
        <v>8.0</v>
      </c>
      <c r="I63" s="38" t="s">
        <v>37</v>
      </c>
      <c r="J63" s="35"/>
    </row>
    <row r="64" ht="14.25" customHeight="1">
      <c r="A64" s="35" t="s">
        <v>68</v>
      </c>
      <c r="B64" s="39" t="s">
        <v>69</v>
      </c>
      <c r="C64" s="39" t="s">
        <v>70</v>
      </c>
      <c r="D64" s="35">
        <v>2.0</v>
      </c>
      <c r="E64" s="35">
        <v>2.0</v>
      </c>
      <c r="F64" s="35">
        <v>2.0</v>
      </c>
      <c r="G64" s="35" t="s">
        <v>17</v>
      </c>
      <c r="H64" s="35">
        <v>6.0</v>
      </c>
      <c r="I64" s="38" t="s">
        <v>18</v>
      </c>
      <c r="J64" s="35"/>
    </row>
    <row r="65" ht="14.25" customHeight="1">
      <c r="A65" s="35" t="s">
        <v>72</v>
      </c>
      <c r="B65" s="39" t="s">
        <v>73</v>
      </c>
      <c r="C65" s="39" t="s">
        <v>74</v>
      </c>
      <c r="D65" s="35">
        <v>2.0</v>
      </c>
      <c r="E65" s="35">
        <v>2.0</v>
      </c>
      <c r="F65" s="35">
        <v>2.0</v>
      </c>
      <c r="G65" s="35" t="s">
        <v>17</v>
      </c>
      <c r="H65" s="41">
        <v>6.0</v>
      </c>
      <c r="I65" s="42" t="s">
        <v>23</v>
      </c>
      <c r="J65" s="43"/>
    </row>
    <row r="66" ht="14.25" customHeight="1">
      <c r="A66" s="35" t="s">
        <v>75</v>
      </c>
      <c r="B66" s="39" t="s">
        <v>76</v>
      </c>
      <c r="C66" s="39" t="s">
        <v>77</v>
      </c>
      <c r="D66" s="35">
        <v>2.0</v>
      </c>
      <c r="E66" s="35">
        <v>2.0</v>
      </c>
      <c r="F66" s="35">
        <v>2.0</v>
      </c>
      <c r="G66" s="35" t="s">
        <v>17</v>
      </c>
      <c r="H66" s="41">
        <v>6.0</v>
      </c>
      <c r="I66" s="42" t="s">
        <v>47</v>
      </c>
      <c r="J66" s="43"/>
    </row>
    <row r="67">
      <c r="A67" s="44" t="s">
        <v>161</v>
      </c>
      <c r="B67" s="9"/>
      <c r="C67" s="9"/>
      <c r="D67" s="9"/>
      <c r="E67" s="9"/>
      <c r="F67" s="9"/>
      <c r="G67" s="9"/>
      <c r="H67" s="9"/>
      <c r="I67" s="9"/>
      <c r="J67" s="10"/>
    </row>
    <row r="68" ht="14.25" customHeight="1">
      <c r="A68" s="35" t="s">
        <v>80</v>
      </c>
      <c r="B68" s="36" t="s">
        <v>81</v>
      </c>
      <c r="C68" s="36" t="s">
        <v>82</v>
      </c>
      <c r="D68" s="35">
        <v>3.0</v>
      </c>
      <c r="E68" s="35">
        <v>3.0</v>
      </c>
      <c r="F68" s="35">
        <v>3.0</v>
      </c>
      <c r="G68" s="35" t="s">
        <v>17</v>
      </c>
      <c r="H68" s="35">
        <v>9.0</v>
      </c>
      <c r="I68" s="38" t="s">
        <v>37</v>
      </c>
      <c r="J68" s="35"/>
    </row>
    <row r="69" ht="14.25" customHeight="1">
      <c r="A69" s="35" t="s">
        <v>84</v>
      </c>
      <c r="B69" s="36" t="s">
        <v>85</v>
      </c>
      <c r="C69" s="36" t="s">
        <v>86</v>
      </c>
      <c r="D69" s="35">
        <v>3.0</v>
      </c>
      <c r="E69" s="35">
        <v>3.0</v>
      </c>
      <c r="F69" s="35">
        <v>3.0</v>
      </c>
      <c r="G69" s="35" t="s">
        <v>17</v>
      </c>
      <c r="H69" s="35">
        <v>8.0</v>
      </c>
      <c r="I69" s="38" t="s">
        <v>47</v>
      </c>
      <c r="J69" s="35"/>
    </row>
    <row r="70" ht="14.25" customHeight="1">
      <c r="A70" s="35" t="s">
        <v>88</v>
      </c>
      <c r="B70" s="36" t="s">
        <v>89</v>
      </c>
      <c r="C70" s="36" t="s">
        <v>90</v>
      </c>
      <c r="D70" s="35">
        <v>3.0</v>
      </c>
      <c r="E70" s="35">
        <v>3.0</v>
      </c>
      <c r="F70" s="35">
        <v>3.0</v>
      </c>
      <c r="G70" s="35" t="s">
        <v>17</v>
      </c>
      <c r="H70" s="35">
        <v>10.0</v>
      </c>
      <c r="I70" s="38" t="s">
        <v>23</v>
      </c>
      <c r="J70" s="35"/>
    </row>
    <row r="71" ht="14.25" customHeight="1">
      <c r="A71" s="35" t="s">
        <v>92</v>
      </c>
      <c r="B71" s="45" t="s">
        <v>93</v>
      </c>
      <c r="C71" s="46" t="s">
        <v>94</v>
      </c>
      <c r="D71" s="35">
        <v>3.0</v>
      </c>
      <c r="E71" s="35">
        <v>3.0</v>
      </c>
      <c r="F71" s="35">
        <v>3.0</v>
      </c>
      <c r="G71" s="35" t="s">
        <v>17</v>
      </c>
      <c r="H71" s="35">
        <v>8.0</v>
      </c>
      <c r="I71" s="38" t="s">
        <v>28</v>
      </c>
      <c r="J71" s="35"/>
    </row>
    <row r="72" ht="14.25" customHeight="1">
      <c r="A72" s="35" t="s">
        <v>96</v>
      </c>
      <c r="B72" s="45" t="s">
        <v>162</v>
      </c>
      <c r="C72" s="36" t="s">
        <v>163</v>
      </c>
      <c r="D72" s="35">
        <v>3.0</v>
      </c>
      <c r="E72" s="35">
        <v>3.0</v>
      </c>
      <c r="F72" s="35">
        <v>3.0</v>
      </c>
      <c r="G72" s="35" t="s">
        <v>17</v>
      </c>
      <c r="H72" s="35">
        <v>8.0</v>
      </c>
      <c r="I72" s="38" t="s">
        <v>47</v>
      </c>
      <c r="J72" s="35"/>
    </row>
    <row r="73" ht="14.25" customHeight="1">
      <c r="A73" s="35" t="s">
        <v>100</v>
      </c>
      <c r="B73" s="45" t="s">
        <v>101</v>
      </c>
      <c r="C73" s="36" t="s">
        <v>102</v>
      </c>
      <c r="D73" s="35">
        <v>3.0</v>
      </c>
      <c r="E73" s="35">
        <v>3.0</v>
      </c>
      <c r="F73" s="35">
        <v>3.0</v>
      </c>
      <c r="G73" s="35" t="s">
        <v>17</v>
      </c>
      <c r="H73" s="35">
        <v>6.0</v>
      </c>
      <c r="I73" s="38" t="s">
        <v>18</v>
      </c>
      <c r="J73" s="35"/>
    </row>
    <row r="74" ht="14.25" customHeight="1">
      <c r="A74" s="35" t="s">
        <v>104</v>
      </c>
      <c r="B74" s="43" t="s">
        <v>105</v>
      </c>
      <c r="C74" s="43" t="s">
        <v>106</v>
      </c>
      <c r="D74" s="41">
        <v>3.0</v>
      </c>
      <c r="E74" s="41">
        <v>3.0</v>
      </c>
      <c r="F74" s="41">
        <v>3.0</v>
      </c>
      <c r="G74" s="35" t="s">
        <v>17</v>
      </c>
      <c r="H74" s="41">
        <v>6.0</v>
      </c>
      <c r="I74" s="41" t="s">
        <v>37</v>
      </c>
      <c r="J74" s="43"/>
    </row>
    <row r="75" ht="14.25" customHeight="1">
      <c r="A75" s="35" t="s">
        <v>108</v>
      </c>
      <c r="B75" s="43" t="s">
        <v>164</v>
      </c>
      <c r="C75" s="43" t="s">
        <v>165</v>
      </c>
      <c r="D75" s="41">
        <v>3.0</v>
      </c>
      <c r="E75" s="41">
        <v>3.0</v>
      </c>
      <c r="F75" s="41">
        <v>3.0</v>
      </c>
      <c r="G75" s="35" t="s">
        <v>17</v>
      </c>
      <c r="H75" s="41">
        <v>6.0</v>
      </c>
      <c r="I75" s="41" t="s">
        <v>23</v>
      </c>
      <c r="J75" s="43"/>
    </row>
    <row r="76" ht="14.25" customHeight="1">
      <c r="A76" s="35" t="s">
        <v>111</v>
      </c>
      <c r="B76" s="43" t="s">
        <v>112</v>
      </c>
      <c r="C76" s="43" t="s">
        <v>113</v>
      </c>
      <c r="D76" s="41">
        <v>3.0</v>
      </c>
      <c r="E76" s="41">
        <v>3.0</v>
      </c>
      <c r="F76" s="41">
        <v>3.0</v>
      </c>
      <c r="G76" s="35" t="s">
        <v>17</v>
      </c>
      <c r="H76" s="41">
        <v>8.0</v>
      </c>
      <c r="I76" s="41" t="s">
        <v>23</v>
      </c>
      <c r="J76" s="43"/>
    </row>
    <row r="77" ht="14.25" customHeight="1">
      <c r="A77" s="35" t="s">
        <v>115</v>
      </c>
      <c r="B77" s="43" t="s">
        <v>116</v>
      </c>
      <c r="C77" s="43" t="s">
        <v>117</v>
      </c>
      <c r="D77" s="41">
        <v>3.0</v>
      </c>
      <c r="E77" s="41">
        <v>3.0</v>
      </c>
      <c r="F77" s="41">
        <v>3.0</v>
      </c>
      <c r="G77" s="35" t="s">
        <v>17</v>
      </c>
      <c r="H77" s="41">
        <v>6.0</v>
      </c>
      <c r="I77" s="41" t="s">
        <v>28</v>
      </c>
      <c r="J77" s="43"/>
    </row>
    <row r="78" ht="14.25" customHeight="1">
      <c r="A78" s="35" t="s">
        <v>119</v>
      </c>
      <c r="B78" s="43" t="s">
        <v>120</v>
      </c>
      <c r="C78" s="43" t="s">
        <v>166</v>
      </c>
      <c r="D78" s="41">
        <v>3.0</v>
      </c>
      <c r="E78" s="41">
        <v>3.0</v>
      </c>
      <c r="F78" s="41">
        <v>3.0</v>
      </c>
      <c r="G78" s="35" t="s">
        <v>17</v>
      </c>
      <c r="H78" s="41">
        <v>6.0</v>
      </c>
      <c r="I78" s="41" t="s">
        <v>28</v>
      </c>
      <c r="J78" s="43"/>
    </row>
    <row r="79">
      <c r="A79" s="44" t="s">
        <v>167</v>
      </c>
      <c r="B79" s="9"/>
      <c r="C79" s="9"/>
      <c r="D79" s="9"/>
      <c r="E79" s="9"/>
      <c r="F79" s="9"/>
      <c r="G79" s="9"/>
      <c r="H79" s="9"/>
      <c r="I79" s="9"/>
      <c r="J79" s="10"/>
    </row>
    <row r="80" ht="14.25" customHeight="1">
      <c r="A80" s="35" t="s">
        <v>124</v>
      </c>
      <c r="B80" s="36" t="s">
        <v>125</v>
      </c>
      <c r="C80" s="36" t="s">
        <v>168</v>
      </c>
      <c r="D80" s="35">
        <v>4.0</v>
      </c>
      <c r="E80" s="35">
        <v>4.0</v>
      </c>
      <c r="F80" s="35">
        <v>4.0</v>
      </c>
      <c r="G80" s="35" t="s">
        <v>17</v>
      </c>
      <c r="H80" s="35">
        <v>8.0</v>
      </c>
      <c r="I80" s="38" t="s">
        <v>47</v>
      </c>
      <c r="J80" s="35"/>
    </row>
    <row r="81" ht="14.25" customHeight="1">
      <c r="A81" s="35" t="s">
        <v>128</v>
      </c>
      <c r="B81" s="36" t="s">
        <v>129</v>
      </c>
      <c r="C81" s="36" t="s">
        <v>130</v>
      </c>
      <c r="D81" s="35">
        <v>4.0</v>
      </c>
      <c r="E81" s="35">
        <v>4.0</v>
      </c>
      <c r="F81" s="35">
        <v>4.0</v>
      </c>
      <c r="G81" s="35" t="s">
        <v>17</v>
      </c>
      <c r="H81" s="35">
        <v>8.0</v>
      </c>
      <c r="I81" s="38" t="s">
        <v>23</v>
      </c>
      <c r="J81" s="35"/>
    </row>
    <row r="82" ht="14.25" customHeight="1">
      <c r="A82" s="35" t="s">
        <v>132</v>
      </c>
      <c r="B82" s="45" t="s">
        <v>133</v>
      </c>
      <c r="C82" s="46" t="s">
        <v>169</v>
      </c>
      <c r="D82" s="35">
        <v>4.0</v>
      </c>
      <c r="E82" s="35">
        <v>4.0</v>
      </c>
      <c r="F82" s="35">
        <v>4.0</v>
      </c>
      <c r="G82" s="35" t="s">
        <v>17</v>
      </c>
      <c r="H82" s="35">
        <v>6.0</v>
      </c>
      <c r="I82" s="38" t="s">
        <v>28</v>
      </c>
      <c r="J82" s="35"/>
    </row>
    <row r="83" ht="14.25" customHeight="1">
      <c r="A83" s="35" t="s">
        <v>136</v>
      </c>
      <c r="B83" s="45" t="s">
        <v>137</v>
      </c>
      <c r="C83" s="46" t="s">
        <v>138</v>
      </c>
      <c r="D83" s="35">
        <v>4.0</v>
      </c>
      <c r="E83" s="35">
        <v>4.0</v>
      </c>
      <c r="F83" s="35">
        <v>4.0</v>
      </c>
      <c r="G83" s="35" t="s">
        <v>17</v>
      </c>
      <c r="H83" s="35">
        <v>6.0</v>
      </c>
      <c r="I83" s="38" t="s">
        <v>37</v>
      </c>
      <c r="J83" s="35"/>
    </row>
    <row r="84" ht="14.25" customHeight="1">
      <c r="A84" s="35" t="s">
        <v>140</v>
      </c>
      <c r="B84" s="45" t="s">
        <v>141</v>
      </c>
      <c r="C84" s="46" t="s">
        <v>142</v>
      </c>
      <c r="D84" s="35">
        <v>4.0</v>
      </c>
      <c r="E84" s="35">
        <v>4.0</v>
      </c>
      <c r="F84" s="35">
        <v>4.0</v>
      </c>
      <c r="G84" s="35" t="s">
        <v>17</v>
      </c>
      <c r="H84" s="35">
        <v>6.0</v>
      </c>
      <c r="I84" s="38" t="s">
        <v>18</v>
      </c>
      <c r="J84" s="35"/>
    </row>
    <row r="85" ht="14.25" customHeight="1">
      <c r="A85" s="35" t="s">
        <v>144</v>
      </c>
      <c r="B85" s="45" t="s">
        <v>145</v>
      </c>
      <c r="C85" s="46" t="s">
        <v>170</v>
      </c>
      <c r="D85" s="35">
        <v>4.0</v>
      </c>
      <c r="E85" s="35">
        <v>4.0</v>
      </c>
      <c r="F85" s="35">
        <v>4.0</v>
      </c>
      <c r="G85" s="35" t="s">
        <v>17</v>
      </c>
      <c r="H85" s="35">
        <v>10.0</v>
      </c>
      <c r="I85" s="38" t="s">
        <v>18</v>
      </c>
      <c r="J85" s="35"/>
    </row>
    <row r="86" ht="14.25" customHeight="1">
      <c r="A86" s="35" t="s">
        <v>148</v>
      </c>
      <c r="B86" s="45" t="s">
        <v>149</v>
      </c>
      <c r="C86" s="46" t="s">
        <v>150</v>
      </c>
      <c r="D86" s="35">
        <v>4.0</v>
      </c>
      <c r="E86" s="35">
        <v>4.0</v>
      </c>
      <c r="F86" s="35">
        <v>4.0</v>
      </c>
      <c r="G86" s="35" t="s">
        <v>17</v>
      </c>
      <c r="H86" s="35">
        <v>8.0</v>
      </c>
      <c r="I86" s="38" t="s">
        <v>47</v>
      </c>
      <c r="J86" s="35"/>
    </row>
    <row r="87" ht="14.25" customHeight="1">
      <c r="A87" s="35" t="s">
        <v>152</v>
      </c>
      <c r="B87" s="45" t="s">
        <v>153</v>
      </c>
      <c r="C87" s="46" t="s">
        <v>154</v>
      </c>
      <c r="D87" s="35">
        <v>4.0</v>
      </c>
      <c r="E87" s="35">
        <v>4.0</v>
      </c>
      <c r="F87" s="35">
        <v>4.0</v>
      </c>
      <c r="G87" s="35" t="s">
        <v>17</v>
      </c>
      <c r="H87" s="35">
        <v>8.0</v>
      </c>
      <c r="I87" s="38" t="s">
        <v>28</v>
      </c>
      <c r="J87" s="35"/>
    </row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</sheetData>
  <mergeCells count="11">
    <mergeCell ref="A50:J50"/>
    <mergeCell ref="A57:J57"/>
    <mergeCell ref="A67:J67"/>
    <mergeCell ref="A79:J79"/>
    <mergeCell ref="A1:J2"/>
    <mergeCell ref="A3:J3"/>
    <mergeCell ref="A5:J5"/>
    <mergeCell ref="A12:J12"/>
    <mergeCell ref="A22:J22"/>
    <mergeCell ref="A34:J34"/>
    <mergeCell ref="A48:J48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14"/>
    <col customWidth="1" min="5" max="5" width="22.43"/>
    <col customWidth="1" min="6" max="6" width="23.14"/>
    <col customWidth="1" min="9" max="9" width="17.0"/>
    <col customWidth="1" min="10" max="10" width="17.29"/>
  </cols>
  <sheetData>
    <row r="1" ht="31.5" customHeight="1">
      <c r="A1" s="47" t="s">
        <v>1</v>
      </c>
      <c r="B1" s="9"/>
      <c r="C1" s="9"/>
      <c r="D1" s="9"/>
      <c r="E1" s="9"/>
      <c r="F1" s="9"/>
      <c r="G1" s="9"/>
      <c r="H1" s="9"/>
      <c r="I1" s="9"/>
      <c r="J1" s="10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 ht="60.75" customHeight="1">
      <c r="A2" s="49"/>
      <c r="B2" s="50" t="s">
        <v>171</v>
      </c>
      <c r="C2" s="9"/>
      <c r="D2" s="9"/>
      <c r="E2" s="10"/>
      <c r="F2" s="51" t="s">
        <v>172</v>
      </c>
      <c r="G2" s="51" t="s">
        <v>173</v>
      </c>
      <c r="H2" s="51" t="s">
        <v>174</v>
      </c>
      <c r="I2" s="52" t="s">
        <v>175</v>
      </c>
      <c r="J2" s="51" t="s">
        <v>176</v>
      </c>
      <c r="K2" s="4"/>
      <c r="L2" s="4"/>
      <c r="M2" s="4"/>
      <c r="N2" s="53" t="s">
        <v>177</v>
      </c>
      <c r="O2" s="10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54"/>
      <c r="B3" s="55" t="s">
        <v>178</v>
      </c>
      <c r="C3" s="55" t="s">
        <v>179</v>
      </c>
      <c r="D3" s="56" t="s">
        <v>180</v>
      </c>
      <c r="E3" s="55" t="s">
        <v>181</v>
      </c>
      <c r="F3" s="57"/>
      <c r="G3" s="57"/>
      <c r="H3" s="57"/>
      <c r="I3" s="58"/>
      <c r="J3" s="58"/>
      <c r="K3" s="4"/>
      <c r="L3" s="4"/>
      <c r="M3" s="4"/>
      <c r="N3" s="59" t="s">
        <v>182</v>
      </c>
      <c r="O3" s="10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60" t="s">
        <v>183</v>
      </c>
      <c r="B4" s="61" t="s">
        <v>12</v>
      </c>
      <c r="C4" s="9"/>
      <c r="D4" s="9"/>
      <c r="E4" s="9"/>
      <c r="F4" s="9"/>
      <c r="G4" s="9"/>
      <c r="H4" s="9"/>
      <c r="I4" s="9"/>
      <c r="J4" s="10"/>
      <c r="K4" s="4"/>
      <c r="L4" s="4"/>
      <c r="M4" s="4"/>
      <c r="N4" s="62" t="s">
        <v>184</v>
      </c>
      <c r="O4" s="62" t="s">
        <v>185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63" t="s">
        <v>14</v>
      </c>
      <c r="B5" s="64">
        <v>1.0</v>
      </c>
      <c r="C5" s="64">
        <v>1.0</v>
      </c>
      <c r="D5" s="64">
        <v>1.0</v>
      </c>
      <c r="E5" s="64">
        <v>1.0</v>
      </c>
      <c r="F5" s="64">
        <f t="shared" ref="F5:F9" si="1">sum(B5:E5)</f>
        <v>4</v>
      </c>
      <c r="G5" s="64">
        <v>1.0</v>
      </c>
      <c r="H5" s="64">
        <f t="shared" ref="H5:H9" si="2">F5*G5</f>
        <v>4</v>
      </c>
      <c r="I5" s="65">
        <v>23.0</v>
      </c>
      <c r="J5" s="65">
        <f t="shared" ref="J5:J9" si="3">(H5*I5)/36</f>
        <v>2.555555556</v>
      </c>
      <c r="K5" s="4"/>
      <c r="L5" s="4"/>
      <c r="M5" s="4"/>
      <c r="N5" s="66" t="s">
        <v>186</v>
      </c>
      <c r="O5" s="66">
        <v>2.0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18" t="s">
        <v>20</v>
      </c>
      <c r="B6" s="64">
        <v>2.0</v>
      </c>
      <c r="C6" s="64">
        <v>3.0</v>
      </c>
      <c r="D6" s="64">
        <v>3.0</v>
      </c>
      <c r="E6" s="64">
        <v>2.0</v>
      </c>
      <c r="F6" s="64">
        <f t="shared" si="1"/>
        <v>10</v>
      </c>
      <c r="G6" s="64">
        <v>1.0</v>
      </c>
      <c r="H6" s="64">
        <f t="shared" si="2"/>
        <v>10</v>
      </c>
      <c r="I6" s="65">
        <v>23.0</v>
      </c>
      <c r="J6" s="65">
        <f t="shared" si="3"/>
        <v>6.388888889</v>
      </c>
      <c r="K6" s="4"/>
      <c r="L6" s="4"/>
      <c r="M6" s="4"/>
      <c r="N6" s="66" t="s">
        <v>187</v>
      </c>
      <c r="O6" s="66">
        <v>2.0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18" t="s">
        <v>188</v>
      </c>
      <c r="B7" s="64">
        <v>1.0</v>
      </c>
      <c r="C7" s="64">
        <v>1.0</v>
      </c>
      <c r="D7" s="64">
        <v>1.0</v>
      </c>
      <c r="E7" s="64">
        <v>3.0</v>
      </c>
      <c r="F7" s="64">
        <f t="shared" si="1"/>
        <v>6</v>
      </c>
      <c r="G7" s="64">
        <v>1.0</v>
      </c>
      <c r="H7" s="64">
        <f t="shared" si="2"/>
        <v>6</v>
      </c>
      <c r="I7" s="65">
        <v>23.0</v>
      </c>
      <c r="J7" s="65">
        <f t="shared" si="3"/>
        <v>3.833333333</v>
      </c>
      <c r="K7" s="4"/>
      <c r="L7" s="4"/>
      <c r="M7" s="4"/>
      <c r="N7" s="66" t="s">
        <v>189</v>
      </c>
      <c r="O7" s="66">
        <v>2.0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18" t="s">
        <v>30</v>
      </c>
      <c r="B8" s="64">
        <v>1.0</v>
      </c>
      <c r="C8" s="64">
        <v>1.0</v>
      </c>
      <c r="D8" s="64">
        <v>2.0</v>
      </c>
      <c r="E8" s="64">
        <v>1.0</v>
      </c>
      <c r="F8" s="64">
        <f t="shared" si="1"/>
        <v>5</v>
      </c>
      <c r="G8" s="64">
        <v>1.0</v>
      </c>
      <c r="H8" s="64">
        <f t="shared" si="2"/>
        <v>5</v>
      </c>
      <c r="I8" s="65">
        <v>23.0</v>
      </c>
      <c r="J8" s="65">
        <f t="shared" si="3"/>
        <v>3.194444444</v>
      </c>
      <c r="K8" s="4"/>
      <c r="L8" s="4"/>
      <c r="M8" s="4"/>
      <c r="N8" s="67" t="s">
        <v>190</v>
      </c>
      <c r="O8" s="68">
        <f>sum(O5:O7)</f>
        <v>6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18" t="s">
        <v>191</v>
      </c>
      <c r="B9" s="69">
        <v>3.0</v>
      </c>
      <c r="C9" s="69">
        <v>2.0</v>
      </c>
      <c r="D9" s="69">
        <v>2.0</v>
      </c>
      <c r="E9" s="69">
        <v>2.0</v>
      </c>
      <c r="F9" s="64">
        <f t="shared" si="1"/>
        <v>9</v>
      </c>
      <c r="G9" s="69">
        <v>1.0</v>
      </c>
      <c r="H9" s="64">
        <f t="shared" si="2"/>
        <v>9</v>
      </c>
      <c r="I9" s="65">
        <v>23.0</v>
      </c>
      <c r="J9" s="65">
        <f t="shared" si="3"/>
        <v>5.75</v>
      </c>
      <c r="K9" s="4"/>
      <c r="L9" s="4"/>
      <c r="M9" s="4"/>
      <c r="N9" s="70" t="s">
        <v>192</v>
      </c>
      <c r="O9" s="3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71" t="s">
        <v>193</v>
      </c>
      <c r="B10" s="9"/>
      <c r="C10" s="9"/>
      <c r="D10" s="9"/>
      <c r="E10" s="9"/>
      <c r="F10" s="9"/>
      <c r="G10" s="9"/>
      <c r="H10" s="10"/>
      <c r="I10" s="72">
        <f t="shared" ref="I10:J10" si="4">SUM(I5:I9)</f>
        <v>115</v>
      </c>
      <c r="J10" s="73">
        <f t="shared" si="4"/>
        <v>21.72222222</v>
      </c>
      <c r="K10" s="4"/>
      <c r="L10" s="4"/>
      <c r="M10" s="4"/>
      <c r="N10" s="5"/>
      <c r="O10" s="7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74" t="s">
        <v>194</v>
      </c>
      <c r="B11" s="75" t="s">
        <v>195</v>
      </c>
      <c r="C11" s="9"/>
      <c r="D11" s="9"/>
      <c r="E11" s="9"/>
      <c r="F11" s="9"/>
      <c r="G11" s="9"/>
      <c r="H11" s="9"/>
      <c r="I11" s="9"/>
      <c r="J11" s="10"/>
      <c r="K11" s="4"/>
      <c r="L11" s="4"/>
      <c r="M11" s="4"/>
      <c r="N11" s="62" t="s">
        <v>184</v>
      </c>
      <c r="O11" s="62" t="s">
        <v>185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76" t="s">
        <v>44</v>
      </c>
      <c r="B12" s="64">
        <v>2.0</v>
      </c>
      <c r="C12" s="64">
        <v>2.0</v>
      </c>
      <c r="D12" s="64">
        <v>2.0</v>
      </c>
      <c r="E12" s="64">
        <v>2.0</v>
      </c>
      <c r="F12" s="64">
        <f t="shared" ref="F12:F20" si="5">SUM(B12:E12)</f>
        <v>8</v>
      </c>
      <c r="G12" s="64">
        <v>1.0</v>
      </c>
      <c r="H12" s="64">
        <f t="shared" ref="H12:H20" si="6">F12*G12</f>
        <v>8</v>
      </c>
      <c r="I12" s="65">
        <v>23.0</v>
      </c>
      <c r="J12" s="64">
        <f t="shared" ref="J12:J20" si="7">(H12*I12)/36</f>
        <v>5.111111111</v>
      </c>
      <c r="K12" s="4"/>
      <c r="L12" s="4"/>
      <c r="M12" s="4"/>
      <c r="N12" s="66" t="s">
        <v>186</v>
      </c>
      <c r="O12" s="66">
        <v>0.0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63" t="s">
        <v>49</v>
      </c>
      <c r="B13" s="64">
        <v>2.0</v>
      </c>
      <c r="C13" s="64">
        <v>2.0</v>
      </c>
      <c r="D13" s="64">
        <v>3.0</v>
      </c>
      <c r="E13" s="64">
        <v>3.0</v>
      </c>
      <c r="F13" s="64">
        <f t="shared" si="5"/>
        <v>10</v>
      </c>
      <c r="G13" s="64">
        <v>1.0</v>
      </c>
      <c r="H13" s="64">
        <f t="shared" si="6"/>
        <v>10</v>
      </c>
      <c r="I13" s="65">
        <v>23.0</v>
      </c>
      <c r="J13" s="64">
        <f t="shared" si="7"/>
        <v>6.388888889</v>
      </c>
      <c r="K13" s="4"/>
      <c r="L13" s="4"/>
      <c r="M13" s="4"/>
      <c r="N13" s="66" t="s">
        <v>187</v>
      </c>
      <c r="O13" s="66">
        <v>0.0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77" t="s">
        <v>53</v>
      </c>
      <c r="B14" s="64">
        <v>1.0</v>
      </c>
      <c r="C14" s="64">
        <v>1.0</v>
      </c>
      <c r="D14" s="64">
        <v>2.0</v>
      </c>
      <c r="E14" s="64">
        <v>1.0</v>
      </c>
      <c r="F14" s="64">
        <f t="shared" si="5"/>
        <v>5</v>
      </c>
      <c r="G14" s="64">
        <v>1.0</v>
      </c>
      <c r="H14" s="64">
        <f t="shared" si="6"/>
        <v>5</v>
      </c>
      <c r="I14" s="65">
        <v>23.0</v>
      </c>
      <c r="J14" s="64">
        <f t="shared" si="7"/>
        <v>3.194444444</v>
      </c>
      <c r="K14" s="4"/>
      <c r="L14" s="4"/>
      <c r="M14" s="4"/>
      <c r="N14" s="66" t="s">
        <v>189</v>
      </c>
      <c r="O14" s="66">
        <v>2.0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63" t="s">
        <v>57</v>
      </c>
      <c r="B15" s="64">
        <v>2.0</v>
      </c>
      <c r="C15" s="64">
        <v>2.0</v>
      </c>
      <c r="D15" s="64">
        <v>2.0</v>
      </c>
      <c r="E15" s="64">
        <v>2.0</v>
      </c>
      <c r="F15" s="64">
        <f t="shared" si="5"/>
        <v>8</v>
      </c>
      <c r="G15" s="64">
        <v>1.0</v>
      </c>
      <c r="H15" s="64">
        <f t="shared" si="6"/>
        <v>8</v>
      </c>
      <c r="I15" s="65">
        <v>23.0</v>
      </c>
      <c r="J15" s="64">
        <f t="shared" si="7"/>
        <v>5.111111111</v>
      </c>
      <c r="K15" s="4"/>
      <c r="L15" s="4"/>
      <c r="M15" s="4"/>
      <c r="N15" s="67" t="s">
        <v>196</v>
      </c>
      <c r="O15" s="68">
        <f>sum(O12:O14)</f>
        <v>2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78" t="s">
        <v>61</v>
      </c>
      <c r="B16" s="69">
        <v>1.0</v>
      </c>
      <c r="C16" s="69">
        <v>1.0</v>
      </c>
      <c r="D16" s="69">
        <v>2.0</v>
      </c>
      <c r="E16" s="69">
        <v>1.0</v>
      </c>
      <c r="F16" s="64">
        <f t="shared" si="5"/>
        <v>5</v>
      </c>
      <c r="G16" s="69">
        <v>1.0</v>
      </c>
      <c r="H16" s="64">
        <f t="shared" si="6"/>
        <v>5</v>
      </c>
      <c r="I16" s="65">
        <v>23.0</v>
      </c>
      <c r="J16" s="64">
        <f t="shared" si="7"/>
        <v>3.194444444</v>
      </c>
      <c r="K16" s="4"/>
      <c r="L16" s="4"/>
      <c r="M16" s="4"/>
      <c r="N16" s="70" t="s">
        <v>197</v>
      </c>
      <c r="O16" s="3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18" t="s">
        <v>65</v>
      </c>
      <c r="B17" s="79">
        <v>2.0</v>
      </c>
      <c r="C17" s="79">
        <v>2.0</v>
      </c>
      <c r="D17" s="79">
        <v>2.0</v>
      </c>
      <c r="E17" s="79">
        <v>1.0</v>
      </c>
      <c r="F17" s="64">
        <f t="shared" si="5"/>
        <v>7</v>
      </c>
      <c r="G17" s="69">
        <v>1.0</v>
      </c>
      <c r="H17" s="64">
        <f t="shared" si="6"/>
        <v>7</v>
      </c>
      <c r="I17" s="65">
        <v>23.0</v>
      </c>
      <c r="J17" s="64">
        <f t="shared" si="7"/>
        <v>4.472222222</v>
      </c>
      <c r="K17" s="4"/>
      <c r="L17" s="4"/>
      <c r="M17" s="4"/>
      <c r="N17" s="80"/>
      <c r="O17" s="81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18" t="s">
        <v>69</v>
      </c>
      <c r="B18" s="69">
        <v>2.0</v>
      </c>
      <c r="C18" s="79">
        <v>1.0</v>
      </c>
      <c r="D18" s="69">
        <v>2.0</v>
      </c>
      <c r="E18" s="69">
        <v>1.0</v>
      </c>
      <c r="F18" s="64">
        <f t="shared" si="5"/>
        <v>6</v>
      </c>
      <c r="G18" s="69">
        <v>1.0</v>
      </c>
      <c r="H18" s="64">
        <f t="shared" si="6"/>
        <v>6</v>
      </c>
      <c r="I18" s="65">
        <v>23.0</v>
      </c>
      <c r="J18" s="64">
        <f t="shared" si="7"/>
        <v>3.833333333</v>
      </c>
      <c r="K18" s="4"/>
      <c r="L18" s="4"/>
      <c r="M18" s="4"/>
      <c r="N18" s="80"/>
      <c r="O18" s="81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18" t="s">
        <v>73</v>
      </c>
      <c r="B19" s="79">
        <v>2.0</v>
      </c>
      <c r="C19" s="79">
        <v>2.0</v>
      </c>
      <c r="D19" s="79">
        <v>2.0</v>
      </c>
      <c r="E19" s="79">
        <v>1.0</v>
      </c>
      <c r="F19" s="64">
        <f t="shared" si="5"/>
        <v>7</v>
      </c>
      <c r="G19" s="69">
        <v>1.0</v>
      </c>
      <c r="H19" s="64">
        <f t="shared" si="6"/>
        <v>7</v>
      </c>
      <c r="I19" s="65">
        <v>23.0</v>
      </c>
      <c r="J19" s="64">
        <f t="shared" si="7"/>
        <v>4.472222222</v>
      </c>
      <c r="K19" s="4"/>
      <c r="L19" s="4"/>
      <c r="M19" s="4"/>
      <c r="N19" s="80"/>
      <c r="O19" s="81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18" t="s">
        <v>76</v>
      </c>
      <c r="B20" s="79">
        <v>2.0</v>
      </c>
      <c r="C20" s="79">
        <v>2.0</v>
      </c>
      <c r="D20" s="79">
        <v>2.0</v>
      </c>
      <c r="E20" s="79">
        <v>3.0</v>
      </c>
      <c r="F20" s="64">
        <f t="shared" si="5"/>
        <v>9</v>
      </c>
      <c r="G20" s="69">
        <v>1.0</v>
      </c>
      <c r="H20" s="64">
        <f t="shared" si="6"/>
        <v>9</v>
      </c>
      <c r="I20" s="65">
        <v>23.0</v>
      </c>
      <c r="J20" s="64">
        <f t="shared" si="7"/>
        <v>5.75</v>
      </c>
      <c r="K20" s="4"/>
      <c r="L20" s="4"/>
      <c r="M20" s="4"/>
      <c r="N20" s="80"/>
      <c r="O20" s="81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82" t="s">
        <v>193</v>
      </c>
      <c r="B21" s="9"/>
      <c r="C21" s="9"/>
      <c r="D21" s="9"/>
      <c r="E21" s="9"/>
      <c r="F21" s="9"/>
      <c r="G21" s="9"/>
      <c r="H21" s="10"/>
      <c r="I21" s="83">
        <f>SUM(I12:I16)</f>
        <v>115</v>
      </c>
      <c r="J21" s="83">
        <f>SUM(J12:J20)</f>
        <v>41.52777778</v>
      </c>
      <c r="K21" s="4"/>
      <c r="L21" s="4"/>
      <c r="M21" s="4"/>
      <c r="N21" s="5"/>
      <c r="O21" s="7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84" t="s">
        <v>198</v>
      </c>
      <c r="B22" s="85" t="s">
        <v>79</v>
      </c>
      <c r="C22" s="9"/>
      <c r="D22" s="9"/>
      <c r="E22" s="9"/>
      <c r="F22" s="9"/>
      <c r="G22" s="9"/>
      <c r="H22" s="9"/>
      <c r="I22" s="9"/>
      <c r="J22" s="10"/>
      <c r="K22" s="4"/>
      <c r="L22" s="4"/>
      <c r="M22" s="4"/>
      <c r="N22" s="66" t="s">
        <v>186</v>
      </c>
      <c r="O22" s="66">
        <v>1.0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15" t="s">
        <v>81</v>
      </c>
      <c r="B23" s="86">
        <v>1.0</v>
      </c>
      <c r="C23" s="86">
        <v>1.0</v>
      </c>
      <c r="D23" s="86">
        <v>2.0</v>
      </c>
      <c r="E23" s="86">
        <v>1.0</v>
      </c>
      <c r="F23" s="64">
        <f t="shared" ref="F23:F33" si="8">SUM(B23:E23)</f>
        <v>5</v>
      </c>
      <c r="G23" s="64">
        <v>1.0</v>
      </c>
      <c r="H23" s="64">
        <f t="shared" ref="H23:H33" si="9">F23*G23</f>
        <v>5</v>
      </c>
      <c r="I23" s="65">
        <v>23.0</v>
      </c>
      <c r="J23" s="64">
        <f t="shared" ref="J23:J33" si="10">(H23*I23)/36</f>
        <v>3.194444444</v>
      </c>
      <c r="K23" s="4"/>
      <c r="L23" s="4"/>
      <c r="M23" s="4"/>
      <c r="N23" s="66" t="s">
        <v>187</v>
      </c>
      <c r="O23" s="66">
        <v>2.0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15" t="s">
        <v>85</v>
      </c>
      <c r="B24" s="86">
        <v>2.0</v>
      </c>
      <c r="C24" s="86">
        <v>2.0</v>
      </c>
      <c r="D24" s="86">
        <v>2.0</v>
      </c>
      <c r="E24" s="86">
        <v>3.0</v>
      </c>
      <c r="F24" s="64">
        <f t="shared" si="8"/>
        <v>9</v>
      </c>
      <c r="G24" s="64">
        <v>1.0</v>
      </c>
      <c r="H24" s="64">
        <f t="shared" si="9"/>
        <v>9</v>
      </c>
      <c r="I24" s="65">
        <v>23.0</v>
      </c>
      <c r="J24" s="64">
        <f t="shared" si="10"/>
        <v>5.75</v>
      </c>
      <c r="K24" s="4"/>
      <c r="L24" s="4"/>
      <c r="M24" s="4"/>
      <c r="N24" s="66" t="s">
        <v>189</v>
      </c>
      <c r="O24" s="66">
        <v>2.0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15" t="s">
        <v>89</v>
      </c>
      <c r="B25" s="86">
        <v>2.0</v>
      </c>
      <c r="C25" s="86">
        <v>2.0</v>
      </c>
      <c r="D25" s="86">
        <v>2.0</v>
      </c>
      <c r="E25" s="86">
        <v>2.0</v>
      </c>
      <c r="F25" s="64">
        <f t="shared" si="8"/>
        <v>8</v>
      </c>
      <c r="G25" s="64">
        <v>1.0</v>
      </c>
      <c r="H25" s="64">
        <f t="shared" si="9"/>
        <v>8</v>
      </c>
      <c r="I25" s="65">
        <v>23.0</v>
      </c>
      <c r="J25" s="64">
        <f t="shared" si="10"/>
        <v>5.111111111</v>
      </c>
      <c r="K25" s="4"/>
      <c r="L25" s="4"/>
      <c r="M25" s="4"/>
      <c r="N25" s="67" t="s">
        <v>190</v>
      </c>
      <c r="O25" s="68">
        <f>sum(O22:O24)</f>
        <v>5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24" t="s">
        <v>93</v>
      </c>
      <c r="B26" s="86">
        <v>2.0</v>
      </c>
      <c r="C26" s="86">
        <v>2.0</v>
      </c>
      <c r="D26" s="86">
        <v>3.0</v>
      </c>
      <c r="E26" s="86">
        <v>2.0</v>
      </c>
      <c r="F26" s="64">
        <f t="shared" si="8"/>
        <v>9</v>
      </c>
      <c r="G26" s="64">
        <v>1.0</v>
      </c>
      <c r="H26" s="64">
        <f t="shared" si="9"/>
        <v>9</v>
      </c>
      <c r="I26" s="65">
        <v>23.0</v>
      </c>
      <c r="J26" s="64">
        <f t="shared" si="10"/>
        <v>5.75</v>
      </c>
      <c r="K26" s="4"/>
      <c r="L26" s="4"/>
      <c r="M26" s="4"/>
      <c r="N26" s="70" t="s">
        <v>199</v>
      </c>
      <c r="O26" s="3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24" t="s">
        <v>162</v>
      </c>
      <c r="B27" s="87">
        <v>2.0</v>
      </c>
      <c r="C27" s="87">
        <v>1.0</v>
      </c>
      <c r="D27" s="87">
        <v>2.0</v>
      </c>
      <c r="E27" s="87">
        <v>1.0</v>
      </c>
      <c r="F27" s="64">
        <f t="shared" si="8"/>
        <v>6</v>
      </c>
      <c r="G27" s="64">
        <v>1.0</v>
      </c>
      <c r="H27" s="64">
        <f t="shared" si="9"/>
        <v>6</v>
      </c>
      <c r="I27" s="65">
        <v>23.0</v>
      </c>
      <c r="J27" s="64">
        <f t="shared" si="10"/>
        <v>3.833333333</v>
      </c>
      <c r="K27" s="4"/>
      <c r="L27" s="4"/>
      <c r="M27" s="4"/>
      <c r="N27" s="80"/>
      <c r="O27" s="81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24" t="s">
        <v>101</v>
      </c>
      <c r="B28" s="87">
        <v>2.0</v>
      </c>
      <c r="C28" s="87">
        <v>2.0</v>
      </c>
      <c r="D28" s="87">
        <v>2.0</v>
      </c>
      <c r="E28" s="87">
        <v>3.0</v>
      </c>
      <c r="F28" s="64">
        <f t="shared" si="8"/>
        <v>9</v>
      </c>
      <c r="G28" s="64">
        <v>1.0</v>
      </c>
      <c r="H28" s="64">
        <f t="shared" si="9"/>
        <v>9</v>
      </c>
      <c r="I28" s="65">
        <v>23.0</v>
      </c>
      <c r="J28" s="64">
        <f t="shared" si="10"/>
        <v>5.75</v>
      </c>
      <c r="K28" s="4"/>
      <c r="L28" s="4"/>
      <c r="M28" s="4"/>
      <c r="N28" s="80"/>
      <c r="O28" s="81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18" t="s">
        <v>105</v>
      </c>
      <c r="B29" s="87">
        <v>2.0</v>
      </c>
      <c r="C29" s="87">
        <v>2.0</v>
      </c>
      <c r="D29" s="87">
        <v>2.0</v>
      </c>
      <c r="E29" s="87">
        <v>1.0</v>
      </c>
      <c r="F29" s="64">
        <f t="shared" si="8"/>
        <v>7</v>
      </c>
      <c r="G29" s="64">
        <v>1.0</v>
      </c>
      <c r="H29" s="64">
        <f t="shared" si="9"/>
        <v>7</v>
      </c>
      <c r="I29" s="65">
        <v>23.0</v>
      </c>
      <c r="J29" s="64">
        <f t="shared" si="10"/>
        <v>4.472222222</v>
      </c>
      <c r="K29" s="4"/>
      <c r="L29" s="4"/>
      <c r="M29" s="4"/>
      <c r="N29" s="80"/>
      <c r="O29" s="81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18" t="s">
        <v>30</v>
      </c>
      <c r="B30" s="87">
        <v>1.0</v>
      </c>
      <c r="C30" s="87">
        <v>1.0</v>
      </c>
      <c r="D30" s="87">
        <v>2.0</v>
      </c>
      <c r="E30" s="87">
        <v>1.0</v>
      </c>
      <c r="F30" s="64">
        <f t="shared" si="8"/>
        <v>5</v>
      </c>
      <c r="G30" s="64">
        <v>1.0</v>
      </c>
      <c r="H30" s="64">
        <f t="shared" si="9"/>
        <v>5</v>
      </c>
      <c r="I30" s="65">
        <v>23.0</v>
      </c>
      <c r="J30" s="64">
        <f t="shared" si="10"/>
        <v>3.194444444</v>
      </c>
      <c r="K30" s="4"/>
      <c r="L30" s="4"/>
      <c r="M30" s="4"/>
      <c r="N30" s="80"/>
      <c r="O30" s="81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18" t="s">
        <v>112</v>
      </c>
      <c r="B31" s="87">
        <v>2.0</v>
      </c>
      <c r="C31" s="87">
        <v>2.0</v>
      </c>
      <c r="D31" s="87">
        <v>2.0</v>
      </c>
      <c r="E31" s="87">
        <v>3.0</v>
      </c>
      <c r="F31" s="64">
        <f t="shared" si="8"/>
        <v>9</v>
      </c>
      <c r="G31" s="64">
        <v>1.0</v>
      </c>
      <c r="H31" s="64">
        <f t="shared" si="9"/>
        <v>9</v>
      </c>
      <c r="I31" s="65">
        <v>23.0</v>
      </c>
      <c r="J31" s="64">
        <f t="shared" si="10"/>
        <v>5.75</v>
      </c>
      <c r="K31" s="4"/>
      <c r="L31" s="4"/>
      <c r="M31" s="4"/>
      <c r="N31" s="80"/>
      <c r="O31" s="81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18" t="s">
        <v>116</v>
      </c>
      <c r="B32" s="87">
        <v>2.0</v>
      </c>
      <c r="C32" s="87">
        <v>1.0</v>
      </c>
      <c r="D32" s="87">
        <v>2.0</v>
      </c>
      <c r="E32" s="87">
        <v>1.0</v>
      </c>
      <c r="F32" s="64">
        <f t="shared" si="8"/>
        <v>6</v>
      </c>
      <c r="G32" s="64">
        <v>1.0</v>
      </c>
      <c r="H32" s="64">
        <f t="shared" si="9"/>
        <v>6</v>
      </c>
      <c r="I32" s="65">
        <v>23.0</v>
      </c>
      <c r="J32" s="64">
        <f t="shared" si="10"/>
        <v>3.833333333</v>
      </c>
      <c r="K32" s="4"/>
      <c r="L32" s="4"/>
      <c r="M32" s="4"/>
      <c r="N32" s="80"/>
      <c r="O32" s="81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18" t="s">
        <v>200</v>
      </c>
      <c r="B33" s="87">
        <v>1.0</v>
      </c>
      <c r="C33" s="87">
        <v>1.0</v>
      </c>
      <c r="D33" s="87">
        <v>1.0</v>
      </c>
      <c r="E33" s="87">
        <v>3.0</v>
      </c>
      <c r="F33" s="64">
        <f t="shared" si="8"/>
        <v>6</v>
      </c>
      <c r="G33" s="64">
        <v>1.0</v>
      </c>
      <c r="H33" s="64">
        <f t="shared" si="9"/>
        <v>6</v>
      </c>
      <c r="I33" s="65">
        <v>23.0</v>
      </c>
      <c r="J33" s="64">
        <f t="shared" si="10"/>
        <v>3.833333333</v>
      </c>
      <c r="K33" s="4"/>
      <c r="L33" s="4"/>
      <c r="M33" s="4"/>
      <c r="N33" s="80"/>
      <c r="O33" s="81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88" t="s">
        <v>193</v>
      </c>
      <c r="B34" s="9"/>
      <c r="C34" s="9"/>
      <c r="D34" s="9"/>
      <c r="E34" s="9"/>
      <c r="F34" s="9"/>
      <c r="G34" s="9"/>
      <c r="H34" s="10"/>
      <c r="I34" s="89">
        <f>SUM(I23:I26)</f>
        <v>92</v>
      </c>
      <c r="J34" s="89">
        <f>SUM(J23:J33)</f>
        <v>50.47222222</v>
      </c>
      <c r="K34" s="4"/>
      <c r="L34" s="4"/>
      <c r="M34" s="4"/>
      <c r="N34" s="5"/>
      <c r="O34" s="7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90" t="s">
        <v>201</v>
      </c>
      <c r="B35" s="91" t="s">
        <v>123</v>
      </c>
      <c r="C35" s="9"/>
      <c r="D35" s="9"/>
      <c r="E35" s="9"/>
      <c r="F35" s="9"/>
      <c r="G35" s="9"/>
      <c r="H35" s="9"/>
      <c r="I35" s="9"/>
      <c r="J35" s="10"/>
      <c r="K35" s="4"/>
      <c r="L35" s="4"/>
      <c r="M35" s="4"/>
      <c r="N35" s="66" t="s">
        <v>186</v>
      </c>
      <c r="O35" s="66">
        <v>2.0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63" t="s">
        <v>125</v>
      </c>
      <c r="B36" s="64">
        <v>2.0</v>
      </c>
      <c r="C36" s="64">
        <v>3.0</v>
      </c>
      <c r="D36" s="64">
        <v>3.0</v>
      </c>
      <c r="E36" s="64">
        <v>2.0</v>
      </c>
      <c r="F36" s="64">
        <f t="shared" ref="F36:F43" si="11">SUM(B36:E36)</f>
        <v>10</v>
      </c>
      <c r="G36" s="64">
        <v>1.0</v>
      </c>
      <c r="H36" s="64">
        <f t="shared" ref="H36:H43" si="12">F36*G36</f>
        <v>10</v>
      </c>
      <c r="I36" s="65">
        <v>23.0</v>
      </c>
      <c r="J36" s="64">
        <f t="shared" ref="J36:J43" si="13">(H36*I36)/36</f>
        <v>6.388888889</v>
      </c>
      <c r="K36" s="4"/>
      <c r="L36" s="4"/>
      <c r="M36" s="4"/>
      <c r="N36" s="66" t="s">
        <v>187</v>
      </c>
      <c r="O36" s="66">
        <v>0.0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15" t="s">
        <v>129</v>
      </c>
      <c r="B37" s="64">
        <v>2.0</v>
      </c>
      <c r="C37" s="64">
        <v>2.0</v>
      </c>
      <c r="D37" s="64">
        <v>2.0</v>
      </c>
      <c r="E37" s="64">
        <v>3.0</v>
      </c>
      <c r="F37" s="64">
        <f t="shared" si="11"/>
        <v>9</v>
      </c>
      <c r="G37" s="64">
        <v>1.0</v>
      </c>
      <c r="H37" s="64">
        <f t="shared" si="12"/>
        <v>9</v>
      </c>
      <c r="I37" s="65">
        <v>23.0</v>
      </c>
      <c r="J37" s="64">
        <f t="shared" si="13"/>
        <v>5.75</v>
      </c>
      <c r="K37" s="4"/>
      <c r="L37" s="4"/>
      <c r="M37" s="4"/>
      <c r="N37" s="66" t="s">
        <v>189</v>
      </c>
      <c r="O37" s="66">
        <v>0.0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24" t="s">
        <v>133</v>
      </c>
      <c r="B38" s="64">
        <v>2.0</v>
      </c>
      <c r="C38" s="64">
        <v>1.0</v>
      </c>
      <c r="D38" s="64">
        <v>2.0</v>
      </c>
      <c r="E38" s="64">
        <v>1.0</v>
      </c>
      <c r="F38" s="64">
        <f t="shared" si="11"/>
        <v>6</v>
      </c>
      <c r="G38" s="64">
        <v>1.0</v>
      </c>
      <c r="H38" s="64">
        <f t="shared" si="12"/>
        <v>6</v>
      </c>
      <c r="I38" s="65">
        <v>23.0</v>
      </c>
      <c r="J38" s="64">
        <f t="shared" si="13"/>
        <v>3.833333333</v>
      </c>
      <c r="K38" s="4"/>
      <c r="L38" s="4"/>
      <c r="M38" s="4"/>
      <c r="N38" s="43" t="s">
        <v>190</v>
      </c>
      <c r="O38" s="68">
        <f>SUM(O35:O37)</f>
        <v>2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24" t="s">
        <v>137</v>
      </c>
      <c r="B39" s="87">
        <v>1.0</v>
      </c>
      <c r="C39" s="87">
        <v>1.0</v>
      </c>
      <c r="D39" s="87">
        <v>2.0</v>
      </c>
      <c r="E39" s="87">
        <v>1.0</v>
      </c>
      <c r="F39" s="64">
        <f t="shared" si="11"/>
        <v>5</v>
      </c>
      <c r="G39" s="64">
        <v>1.0</v>
      </c>
      <c r="H39" s="64">
        <f t="shared" si="12"/>
        <v>5</v>
      </c>
      <c r="I39" s="65">
        <v>23.0</v>
      </c>
      <c r="J39" s="64">
        <f t="shared" si="13"/>
        <v>3.194444444</v>
      </c>
      <c r="K39" s="4"/>
      <c r="L39" s="4"/>
      <c r="M39" s="4"/>
      <c r="N39" s="62"/>
      <c r="O39" s="62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24" t="s">
        <v>141</v>
      </c>
      <c r="B40" s="87">
        <v>1.0</v>
      </c>
      <c r="C40" s="87">
        <v>1.0</v>
      </c>
      <c r="D40" s="87">
        <v>1.0</v>
      </c>
      <c r="E40" s="87">
        <v>3.0</v>
      </c>
      <c r="F40" s="64">
        <f t="shared" si="11"/>
        <v>6</v>
      </c>
      <c r="G40" s="64">
        <v>1.0</v>
      </c>
      <c r="H40" s="64">
        <f t="shared" si="12"/>
        <v>6</v>
      </c>
      <c r="I40" s="65">
        <v>23.0</v>
      </c>
      <c r="J40" s="64">
        <f t="shared" si="13"/>
        <v>3.833333333</v>
      </c>
      <c r="K40" s="4"/>
      <c r="L40" s="4"/>
      <c r="M40" s="4"/>
      <c r="N40" s="62"/>
      <c r="O40" s="62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24" t="s">
        <v>145</v>
      </c>
      <c r="B41" s="87">
        <v>3.0</v>
      </c>
      <c r="C41" s="87">
        <v>3.0</v>
      </c>
      <c r="D41" s="87">
        <v>3.0</v>
      </c>
      <c r="E41" s="87">
        <v>3.0</v>
      </c>
      <c r="F41" s="64">
        <f t="shared" si="11"/>
        <v>12</v>
      </c>
      <c r="G41" s="64">
        <v>1.0</v>
      </c>
      <c r="H41" s="64">
        <f t="shared" si="12"/>
        <v>12</v>
      </c>
      <c r="I41" s="65">
        <v>23.0</v>
      </c>
      <c r="J41" s="64">
        <f t="shared" si="13"/>
        <v>7.666666667</v>
      </c>
      <c r="K41" s="4"/>
      <c r="L41" s="4"/>
      <c r="M41" s="4"/>
      <c r="N41" s="62"/>
      <c r="O41" s="62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24" t="s">
        <v>149</v>
      </c>
      <c r="B42" s="87">
        <v>2.0</v>
      </c>
      <c r="C42" s="87">
        <v>2.0</v>
      </c>
      <c r="D42" s="87">
        <v>2.0</v>
      </c>
      <c r="E42" s="87">
        <v>1.0</v>
      </c>
      <c r="F42" s="64">
        <f t="shared" si="11"/>
        <v>7</v>
      </c>
      <c r="G42" s="64">
        <v>1.0</v>
      </c>
      <c r="H42" s="64">
        <f t="shared" si="12"/>
        <v>7</v>
      </c>
      <c r="I42" s="65">
        <v>23.0</v>
      </c>
      <c r="J42" s="64">
        <f t="shared" si="13"/>
        <v>4.472222222</v>
      </c>
      <c r="K42" s="4"/>
      <c r="L42" s="4"/>
      <c r="M42" s="4"/>
      <c r="N42" s="62"/>
      <c r="O42" s="62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24" t="s">
        <v>153</v>
      </c>
      <c r="B43" s="87">
        <v>2.0</v>
      </c>
      <c r="C43" s="87">
        <v>1.0</v>
      </c>
      <c r="D43" s="87">
        <v>2.0</v>
      </c>
      <c r="E43" s="87">
        <v>1.0</v>
      </c>
      <c r="F43" s="64">
        <f t="shared" si="11"/>
        <v>6</v>
      </c>
      <c r="G43" s="64">
        <v>1.0</v>
      </c>
      <c r="H43" s="64">
        <f t="shared" si="12"/>
        <v>6</v>
      </c>
      <c r="I43" s="65">
        <v>23.0</v>
      </c>
      <c r="J43" s="64">
        <f t="shared" si="13"/>
        <v>3.833333333</v>
      </c>
      <c r="K43" s="4"/>
      <c r="L43" s="4"/>
      <c r="M43" s="4"/>
      <c r="N43" s="62"/>
      <c r="O43" s="62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92" t="s">
        <v>193</v>
      </c>
      <c r="B44" s="9"/>
      <c r="C44" s="9"/>
      <c r="D44" s="9"/>
      <c r="E44" s="9"/>
      <c r="F44" s="9"/>
      <c r="G44" s="9"/>
      <c r="H44" s="10"/>
      <c r="I44" s="93">
        <f t="shared" ref="I44:J44" si="14">SUM(I36:I38)</f>
        <v>69</v>
      </c>
      <c r="J44" s="93">
        <f t="shared" si="14"/>
        <v>15.97222222</v>
      </c>
      <c r="K44" s="4"/>
      <c r="L44" s="4"/>
      <c r="M44" s="4"/>
      <c r="N44" s="70" t="s">
        <v>202</v>
      </c>
      <c r="O44" s="3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29"/>
      <c r="B45" s="94"/>
      <c r="C45" s="94"/>
      <c r="D45" s="94"/>
      <c r="E45" s="94"/>
      <c r="F45" s="94"/>
      <c r="G45" s="94"/>
      <c r="H45" s="94"/>
      <c r="I45" s="94"/>
      <c r="J45" s="95"/>
      <c r="K45" s="4"/>
      <c r="L45" s="4"/>
      <c r="M45" s="4"/>
      <c r="N45" s="5"/>
      <c r="O45" s="7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29"/>
      <c r="B46" s="94"/>
      <c r="C46" s="94"/>
      <c r="D46" s="94"/>
      <c r="E46" s="94"/>
      <c r="F46" s="94"/>
      <c r="G46" s="94"/>
      <c r="H46" s="94"/>
      <c r="I46" s="94"/>
      <c r="J46" s="95"/>
      <c r="K46" s="4"/>
      <c r="L46" s="4"/>
      <c r="M46" s="4"/>
      <c r="N46" s="66" t="s">
        <v>186</v>
      </c>
      <c r="O46" s="66">
        <v>2.0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29"/>
      <c r="B47" s="94"/>
      <c r="C47" s="94"/>
      <c r="D47" s="94"/>
      <c r="E47" s="94"/>
      <c r="F47" s="94"/>
      <c r="G47" s="94"/>
      <c r="H47" s="94"/>
      <c r="I47" s="94"/>
      <c r="J47" s="95"/>
      <c r="K47" s="4"/>
      <c r="L47" s="4"/>
      <c r="M47" s="4"/>
      <c r="N47" s="66" t="s">
        <v>187</v>
      </c>
      <c r="O47" s="66">
        <v>2.0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96"/>
      <c r="B48" s="4"/>
      <c r="C48" s="4"/>
      <c r="D48" s="4"/>
      <c r="E48" s="4"/>
      <c r="F48" s="4"/>
      <c r="G48" s="4"/>
      <c r="H48" s="4"/>
      <c r="I48" s="97"/>
      <c r="J48" s="98"/>
      <c r="K48" s="4"/>
      <c r="L48" s="4"/>
      <c r="M48" s="4"/>
      <c r="N48" s="66" t="s">
        <v>189</v>
      </c>
      <c r="O48" s="66">
        <v>2.0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99"/>
      <c r="B49" s="99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100" t="s">
        <v>190</v>
      </c>
      <c r="O49" s="68">
        <f>SUM(O46:O48)</f>
        <v>6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101" t="s">
        <v>156</v>
      </c>
      <c r="B50" s="9"/>
      <c r="C50" s="9"/>
      <c r="D50" s="9"/>
      <c r="E50" s="9"/>
      <c r="F50" s="9"/>
      <c r="G50" s="9"/>
      <c r="H50" s="9"/>
      <c r="I50" s="9"/>
      <c r="J50" s="10"/>
      <c r="K50" s="48"/>
      <c r="L50" s="4"/>
      <c r="M50" s="4"/>
      <c r="N50" s="70" t="s">
        <v>203</v>
      </c>
      <c r="O50" s="3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102"/>
      <c r="B51" s="103" t="s">
        <v>171</v>
      </c>
      <c r="C51" s="9"/>
      <c r="D51" s="9"/>
      <c r="E51" s="10"/>
      <c r="F51" s="104" t="s">
        <v>172</v>
      </c>
      <c r="G51" s="104" t="s">
        <v>173</v>
      </c>
      <c r="H51" s="104" t="s">
        <v>174</v>
      </c>
      <c r="I51" s="105" t="s">
        <v>175</v>
      </c>
      <c r="J51" s="104" t="s">
        <v>176</v>
      </c>
      <c r="K51" s="4"/>
      <c r="L51" s="4"/>
      <c r="M51" s="4"/>
      <c r="N51" s="5"/>
      <c r="O51" s="7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106"/>
      <c r="B52" s="107" t="s">
        <v>178</v>
      </c>
      <c r="C52" s="107" t="s">
        <v>179</v>
      </c>
      <c r="D52" s="108" t="s">
        <v>180</v>
      </c>
      <c r="E52" s="107" t="s">
        <v>181</v>
      </c>
      <c r="F52" s="109"/>
      <c r="G52" s="109"/>
      <c r="H52" s="109"/>
      <c r="I52" s="110"/>
      <c r="J52" s="110"/>
      <c r="K52" s="4"/>
      <c r="L52" s="4"/>
      <c r="M52" s="4"/>
      <c r="N52" s="66" t="s">
        <v>186</v>
      </c>
      <c r="O52" s="66">
        <v>2.0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111" t="s">
        <v>183</v>
      </c>
      <c r="B53" s="112" t="s">
        <v>157</v>
      </c>
      <c r="C53" s="9"/>
      <c r="D53" s="9"/>
      <c r="E53" s="9"/>
      <c r="F53" s="9"/>
      <c r="G53" s="9"/>
      <c r="H53" s="9"/>
      <c r="I53" s="9"/>
      <c r="J53" s="10"/>
      <c r="K53" s="4"/>
      <c r="L53" s="4"/>
      <c r="M53" s="4"/>
      <c r="N53" s="66" t="s">
        <v>187</v>
      </c>
      <c r="O53" s="66">
        <v>0.0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113" t="s">
        <v>204</v>
      </c>
      <c r="B54" s="113">
        <v>3.0</v>
      </c>
      <c r="C54" s="113">
        <v>2.0</v>
      </c>
      <c r="D54" s="113">
        <v>2.0</v>
      </c>
      <c r="E54" s="113">
        <v>2.0</v>
      </c>
      <c r="F54" s="113">
        <v>9.0</v>
      </c>
      <c r="G54" s="113">
        <v>1.0</v>
      </c>
      <c r="H54" s="113">
        <v>9.0</v>
      </c>
      <c r="I54" s="114">
        <v>12.0</v>
      </c>
      <c r="J54" s="114">
        <v>3.0</v>
      </c>
      <c r="K54" s="4"/>
      <c r="L54" s="4"/>
      <c r="M54" s="4"/>
      <c r="N54" s="66" t="s">
        <v>189</v>
      </c>
      <c r="O54" s="66">
        <v>0.0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115" t="s">
        <v>205</v>
      </c>
      <c r="B55" s="113">
        <v>3.0</v>
      </c>
      <c r="C55" s="113">
        <v>3.0</v>
      </c>
      <c r="D55" s="113">
        <v>3.0</v>
      </c>
      <c r="E55" s="113">
        <v>3.0</v>
      </c>
      <c r="F55" s="113">
        <v>12.0</v>
      </c>
      <c r="G55" s="113">
        <v>1.0</v>
      </c>
      <c r="H55" s="113">
        <v>12.0</v>
      </c>
      <c r="I55" s="114">
        <v>12.0</v>
      </c>
      <c r="J55" s="114">
        <v>4.0</v>
      </c>
      <c r="K55" s="4"/>
      <c r="L55" s="4"/>
      <c r="M55" s="4"/>
      <c r="N55" s="100" t="s">
        <v>190</v>
      </c>
      <c r="O55" s="68">
        <f>SUM(O52:O54)</f>
        <v>2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115" t="s">
        <v>206</v>
      </c>
      <c r="B56" s="113">
        <v>2.0</v>
      </c>
      <c r="C56" s="113">
        <v>2.0</v>
      </c>
      <c r="D56" s="113">
        <v>2.0</v>
      </c>
      <c r="E56" s="113">
        <v>2.0</v>
      </c>
      <c r="F56" s="113">
        <v>8.0</v>
      </c>
      <c r="G56" s="113">
        <v>1.0</v>
      </c>
      <c r="H56" s="113">
        <v>8.0</v>
      </c>
      <c r="I56" s="114">
        <v>12.0</v>
      </c>
      <c r="J56" s="114">
        <v>2.66</v>
      </c>
      <c r="K56" s="4"/>
      <c r="L56" s="4"/>
      <c r="M56" s="4"/>
      <c r="N56" s="116" t="s">
        <v>207</v>
      </c>
      <c r="O56" s="66">
        <f>sum(O8+O15+O25+O38+O49+O55)</f>
        <v>23</v>
      </c>
      <c r="P56" s="4" t="s">
        <v>208</v>
      </c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115" t="s">
        <v>209</v>
      </c>
      <c r="B57" s="113">
        <v>2.0</v>
      </c>
      <c r="C57" s="113">
        <v>2.0</v>
      </c>
      <c r="D57" s="113">
        <v>2.0</v>
      </c>
      <c r="E57" s="113">
        <v>2.0</v>
      </c>
      <c r="F57" s="113">
        <v>8.0</v>
      </c>
      <c r="G57" s="113">
        <v>1.0</v>
      </c>
      <c r="H57" s="113">
        <v>8.0</v>
      </c>
      <c r="I57" s="114">
        <v>12.0</v>
      </c>
      <c r="J57" s="114">
        <v>2.66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115" t="s">
        <v>210</v>
      </c>
      <c r="B58" s="117">
        <v>3.0</v>
      </c>
      <c r="C58" s="117">
        <v>3.0</v>
      </c>
      <c r="D58" s="117">
        <v>3.0</v>
      </c>
      <c r="E58" s="117">
        <v>3.0</v>
      </c>
      <c r="F58" s="117">
        <v>12.0</v>
      </c>
      <c r="G58" s="117">
        <v>1.0</v>
      </c>
      <c r="H58" s="117">
        <v>12.0</v>
      </c>
      <c r="I58" s="117">
        <v>12.0</v>
      </c>
      <c r="J58" s="117">
        <v>4.0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118" t="s">
        <v>193</v>
      </c>
      <c r="B59" s="9"/>
      <c r="C59" s="9"/>
      <c r="D59" s="9"/>
      <c r="E59" s="9"/>
      <c r="F59" s="9"/>
      <c r="G59" s="9"/>
      <c r="H59" s="10"/>
      <c r="I59" s="119">
        <f t="shared" ref="I59:J59" si="15">SUM(I54:I58)</f>
        <v>60</v>
      </c>
      <c r="J59" s="120">
        <f t="shared" si="15"/>
        <v>16.32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121" t="s">
        <v>194</v>
      </c>
      <c r="B60" s="122" t="s">
        <v>211</v>
      </c>
      <c r="C60" s="9"/>
      <c r="D60" s="9"/>
      <c r="E60" s="9"/>
      <c r="F60" s="9"/>
      <c r="G60" s="9"/>
      <c r="H60" s="9"/>
      <c r="I60" s="9"/>
      <c r="J60" s="10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123" t="s">
        <v>212</v>
      </c>
      <c r="B61" s="113">
        <v>3.0</v>
      </c>
      <c r="C61" s="113">
        <v>3.0</v>
      </c>
      <c r="D61" s="113">
        <v>3.0</v>
      </c>
      <c r="E61" s="113">
        <v>2.0</v>
      </c>
      <c r="F61" s="113">
        <v>11.0</v>
      </c>
      <c r="G61" s="113">
        <v>1.0</v>
      </c>
      <c r="H61" s="113">
        <v>11.0</v>
      </c>
      <c r="I61" s="113">
        <v>12.0</v>
      </c>
      <c r="J61" s="113">
        <v>3.66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124" t="s">
        <v>213</v>
      </c>
      <c r="B62" s="113">
        <v>3.0</v>
      </c>
      <c r="C62" s="113">
        <v>3.0</v>
      </c>
      <c r="D62" s="113">
        <v>2.0</v>
      </c>
      <c r="E62" s="113">
        <v>2.0</v>
      </c>
      <c r="F62" s="113">
        <v>10.0</v>
      </c>
      <c r="G62" s="113">
        <v>1.0</v>
      </c>
      <c r="H62" s="113">
        <v>10.0</v>
      </c>
      <c r="I62" s="113">
        <v>12.0</v>
      </c>
      <c r="J62" s="113">
        <v>3.33</v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125" t="s">
        <v>214</v>
      </c>
      <c r="B63" s="113">
        <v>2.0</v>
      </c>
      <c r="C63" s="113">
        <v>3.0</v>
      </c>
      <c r="D63" s="113">
        <v>3.0</v>
      </c>
      <c r="E63" s="113">
        <v>2.0</v>
      </c>
      <c r="F63" s="113">
        <v>10.0</v>
      </c>
      <c r="G63" s="113">
        <v>1.0</v>
      </c>
      <c r="H63" s="113">
        <v>10.0</v>
      </c>
      <c r="I63" s="113">
        <v>12.0</v>
      </c>
      <c r="J63" s="113">
        <v>3.33</v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124" t="s">
        <v>215</v>
      </c>
      <c r="B64" s="113">
        <v>2.0</v>
      </c>
      <c r="C64" s="113">
        <v>3.0</v>
      </c>
      <c r="D64" s="113">
        <v>2.0</v>
      </c>
      <c r="E64" s="113">
        <v>2.0</v>
      </c>
      <c r="F64" s="113">
        <v>9.0</v>
      </c>
      <c r="G64" s="113">
        <v>1.0</v>
      </c>
      <c r="H64" s="113">
        <v>9.0</v>
      </c>
      <c r="I64" s="113">
        <v>12.0</v>
      </c>
      <c r="J64" s="113">
        <v>3.0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117" t="s">
        <v>216</v>
      </c>
      <c r="B65" s="117">
        <v>3.0</v>
      </c>
      <c r="C65" s="117">
        <v>3.0</v>
      </c>
      <c r="D65" s="117">
        <v>3.0</v>
      </c>
      <c r="E65" s="117">
        <v>2.0</v>
      </c>
      <c r="F65" s="117">
        <v>11.0</v>
      </c>
      <c r="G65" s="117">
        <v>1.0</v>
      </c>
      <c r="H65" s="117">
        <v>11.0</v>
      </c>
      <c r="I65" s="117">
        <v>12.0</v>
      </c>
      <c r="J65" s="117">
        <v>3.66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126" t="s">
        <v>193</v>
      </c>
      <c r="B66" s="9"/>
      <c r="C66" s="9"/>
      <c r="D66" s="9"/>
      <c r="E66" s="9"/>
      <c r="F66" s="9"/>
      <c r="G66" s="9"/>
      <c r="H66" s="10"/>
      <c r="I66" s="127">
        <f t="shared" ref="I66:J66" si="16">SUM(I61:I65)</f>
        <v>60</v>
      </c>
      <c r="J66" s="127">
        <f t="shared" si="16"/>
        <v>16.98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128" t="s">
        <v>198</v>
      </c>
      <c r="B67" s="129" t="s">
        <v>161</v>
      </c>
      <c r="C67" s="9"/>
      <c r="D67" s="9"/>
      <c r="E67" s="9"/>
      <c r="F67" s="9"/>
      <c r="G67" s="9"/>
      <c r="H67" s="9"/>
      <c r="I67" s="9"/>
      <c r="J67" s="10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124" t="s">
        <v>217</v>
      </c>
      <c r="B68" s="113">
        <v>3.0</v>
      </c>
      <c r="C68" s="113">
        <v>3.0</v>
      </c>
      <c r="D68" s="113">
        <v>3.0</v>
      </c>
      <c r="E68" s="113">
        <v>2.0</v>
      </c>
      <c r="F68" s="113">
        <v>11.0</v>
      </c>
      <c r="G68" s="113">
        <v>1.0</v>
      </c>
      <c r="H68" s="113">
        <v>11.0</v>
      </c>
      <c r="I68" s="113">
        <v>12.0</v>
      </c>
      <c r="J68" s="113">
        <v>3.66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124" t="s">
        <v>218</v>
      </c>
      <c r="B69" s="113">
        <v>3.0</v>
      </c>
      <c r="C69" s="113">
        <v>3.0</v>
      </c>
      <c r="D69" s="113">
        <v>3.0</v>
      </c>
      <c r="E69" s="130">
        <v>3.0</v>
      </c>
      <c r="F69" s="113">
        <v>12.0</v>
      </c>
      <c r="G69" s="113">
        <v>1.0</v>
      </c>
      <c r="H69" s="113">
        <v>12.0</v>
      </c>
      <c r="I69" s="113">
        <v>12.0</v>
      </c>
      <c r="J69" s="113">
        <v>4.0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124" t="s">
        <v>219</v>
      </c>
      <c r="B70" s="113">
        <v>2.0</v>
      </c>
      <c r="C70" s="113">
        <v>2.0</v>
      </c>
      <c r="D70" s="113">
        <v>3.0</v>
      </c>
      <c r="E70" s="113">
        <v>2.0</v>
      </c>
      <c r="F70" s="113">
        <v>9.0</v>
      </c>
      <c r="G70" s="113">
        <v>1.0</v>
      </c>
      <c r="H70" s="113">
        <v>9.0</v>
      </c>
      <c r="I70" s="113">
        <v>12.0</v>
      </c>
      <c r="J70" s="113">
        <v>3.0</v>
      </c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124" t="s">
        <v>220</v>
      </c>
      <c r="B71" s="113">
        <v>3.0</v>
      </c>
      <c r="C71" s="113">
        <v>3.0</v>
      </c>
      <c r="D71" s="113">
        <v>3.0</v>
      </c>
      <c r="E71" s="113">
        <v>2.0</v>
      </c>
      <c r="F71" s="113">
        <v>11.0</v>
      </c>
      <c r="G71" s="113">
        <v>1.0</v>
      </c>
      <c r="H71" s="113">
        <v>11.0</v>
      </c>
      <c r="I71" s="113">
        <v>12.0</v>
      </c>
      <c r="J71" s="113">
        <v>3.66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131" t="s">
        <v>193</v>
      </c>
      <c r="B72" s="9"/>
      <c r="C72" s="9"/>
      <c r="D72" s="9"/>
      <c r="E72" s="9"/>
      <c r="F72" s="9"/>
      <c r="G72" s="9"/>
      <c r="H72" s="10"/>
      <c r="I72" s="132">
        <f t="shared" ref="I72:J72" si="17">SUM(I68:I71)</f>
        <v>48</v>
      </c>
      <c r="J72" s="132">
        <f t="shared" si="17"/>
        <v>14.32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133" t="s">
        <v>201</v>
      </c>
      <c r="B73" s="134" t="s">
        <v>221</v>
      </c>
      <c r="C73" s="9"/>
      <c r="D73" s="9"/>
      <c r="E73" s="9"/>
      <c r="F73" s="9"/>
      <c r="G73" s="9"/>
      <c r="H73" s="9"/>
      <c r="I73" s="9"/>
      <c r="J73" s="10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124" t="s">
        <v>222</v>
      </c>
      <c r="B74" s="113">
        <v>3.0</v>
      </c>
      <c r="C74" s="113">
        <v>3.0</v>
      </c>
      <c r="D74" s="113">
        <v>3.0</v>
      </c>
      <c r="E74" s="113">
        <v>2.0</v>
      </c>
      <c r="F74" s="113">
        <v>11.0</v>
      </c>
      <c r="G74" s="113">
        <v>1.0</v>
      </c>
      <c r="H74" s="113">
        <v>11.0</v>
      </c>
      <c r="I74" s="113">
        <v>12.0</v>
      </c>
      <c r="J74" s="113">
        <v>3.66</v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124" t="s">
        <v>223</v>
      </c>
      <c r="B75" s="113">
        <v>3.0</v>
      </c>
      <c r="C75" s="113">
        <v>2.0</v>
      </c>
      <c r="D75" s="113">
        <v>2.0</v>
      </c>
      <c r="E75" s="113">
        <v>2.0</v>
      </c>
      <c r="F75" s="113">
        <v>9.0</v>
      </c>
      <c r="G75" s="113">
        <v>1.0</v>
      </c>
      <c r="H75" s="113">
        <v>9.0</v>
      </c>
      <c r="I75" s="113">
        <v>12.0</v>
      </c>
      <c r="J75" s="113">
        <v>3.0</v>
      </c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124" t="s">
        <v>224</v>
      </c>
      <c r="B76" s="113">
        <v>2.0</v>
      </c>
      <c r="C76" s="113">
        <v>2.0</v>
      </c>
      <c r="D76" s="113">
        <v>2.0</v>
      </c>
      <c r="E76" s="113">
        <v>2.0</v>
      </c>
      <c r="F76" s="113">
        <v>8.0</v>
      </c>
      <c r="G76" s="113">
        <v>1.0</v>
      </c>
      <c r="H76" s="113">
        <v>8.0</v>
      </c>
      <c r="I76" s="113"/>
      <c r="J76" s="113">
        <v>2.66</v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124" t="s">
        <v>225</v>
      </c>
      <c r="B77" s="113">
        <v>2.0</v>
      </c>
      <c r="C77" s="113">
        <v>3.0</v>
      </c>
      <c r="D77" s="113">
        <v>2.0</v>
      </c>
      <c r="E77" s="113">
        <v>2.0</v>
      </c>
      <c r="F77" s="113">
        <v>9.0</v>
      </c>
      <c r="G77" s="113">
        <v>1.0</v>
      </c>
      <c r="H77" s="113">
        <v>9.0</v>
      </c>
      <c r="I77" s="113">
        <v>12.0</v>
      </c>
      <c r="J77" s="113">
        <v>3.0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135" t="s">
        <v>193</v>
      </c>
      <c r="B78" s="9"/>
      <c r="C78" s="9"/>
      <c r="D78" s="9"/>
      <c r="E78" s="9"/>
      <c r="F78" s="9"/>
      <c r="G78" s="9"/>
      <c r="H78" s="10"/>
      <c r="I78" s="136">
        <f t="shared" ref="I78:J78" si="18">SUM(I74:I77)</f>
        <v>36</v>
      </c>
      <c r="J78" s="136">
        <f t="shared" si="18"/>
        <v>12.32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29"/>
      <c r="B79" s="94"/>
      <c r="C79" s="94"/>
      <c r="D79" s="94"/>
      <c r="E79" s="94"/>
      <c r="F79" s="94"/>
      <c r="G79" s="94"/>
      <c r="H79" s="94"/>
      <c r="I79" s="94"/>
      <c r="J79" s="95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29"/>
      <c r="B80" s="94"/>
      <c r="C80" s="94"/>
      <c r="D80" s="94"/>
      <c r="E80" s="94"/>
      <c r="F80" s="94"/>
      <c r="G80" s="94"/>
      <c r="H80" s="94"/>
      <c r="I80" s="94"/>
      <c r="J80" s="95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4.2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4.2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4.2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4.2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14.2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ht="14.2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ht="14.25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ht="14.25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ht="14.25" customHeight="1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ht="14.25" customHeight="1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ht="14.25" customHeight="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ht="14.25" customHeight="1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ht="14.25" customHeight="1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ht="14.25" customHeight="1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ht="14.25" customHeight="1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ht="14.25" customHeight="1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ht="14.25" customHeight="1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</sheetData>
  <mergeCells count="27">
    <mergeCell ref="N9:O10"/>
    <mergeCell ref="N16:O21"/>
    <mergeCell ref="N26:O34"/>
    <mergeCell ref="N44:O45"/>
    <mergeCell ref="N50:O51"/>
    <mergeCell ref="A1:J1"/>
    <mergeCell ref="B2:E2"/>
    <mergeCell ref="N2:O2"/>
    <mergeCell ref="N3:O3"/>
    <mergeCell ref="B4:J4"/>
    <mergeCell ref="A10:H10"/>
    <mergeCell ref="B11:J11"/>
    <mergeCell ref="B53:J53"/>
    <mergeCell ref="A59:H59"/>
    <mergeCell ref="B60:J60"/>
    <mergeCell ref="A66:H66"/>
    <mergeCell ref="B67:J67"/>
    <mergeCell ref="A72:H72"/>
    <mergeCell ref="B73:J73"/>
    <mergeCell ref="A78:H78"/>
    <mergeCell ref="A21:H21"/>
    <mergeCell ref="B22:J22"/>
    <mergeCell ref="A34:H34"/>
    <mergeCell ref="B35:J35"/>
    <mergeCell ref="A44:H44"/>
    <mergeCell ref="A50:J50"/>
    <mergeCell ref="B51:E51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7.0"/>
    <col customWidth="1" min="2" max="2" width="72.86"/>
    <col customWidth="1" min="3" max="26" width="8.71"/>
  </cols>
  <sheetData>
    <row r="1">
      <c r="A1" s="137" t="s">
        <v>226</v>
      </c>
      <c r="B1" s="137" t="s">
        <v>227</v>
      </c>
    </row>
    <row r="2">
      <c r="A2" s="138" t="s">
        <v>228</v>
      </c>
      <c r="B2" s="139" t="s">
        <v>229</v>
      </c>
    </row>
    <row r="3">
      <c r="A3" s="140" t="s">
        <v>230</v>
      </c>
      <c r="B3" s="141" t="s">
        <v>231</v>
      </c>
    </row>
    <row r="4" ht="14.25" customHeight="1">
      <c r="E4" s="130" t="s">
        <v>232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16.0"/>
    <col customWidth="1" min="3" max="3" width="23.86"/>
    <col customWidth="1" min="4" max="4" width="27.57"/>
    <col customWidth="1" min="5" max="5" width="28.0"/>
    <col customWidth="1" min="6" max="6" width="21.14"/>
    <col customWidth="1" min="7" max="7" width="26.86"/>
    <col customWidth="1" min="8" max="8" width="26.57"/>
    <col customWidth="1" min="9" max="9" width="25.57"/>
    <col customWidth="1" min="10" max="10" width="24.71"/>
    <col customWidth="1" min="11" max="11" width="21.29"/>
  </cols>
  <sheetData>
    <row r="1">
      <c r="A1" s="142" t="s">
        <v>233</v>
      </c>
      <c r="B1" s="142" t="s">
        <v>3</v>
      </c>
      <c r="C1" s="142" t="s">
        <v>234</v>
      </c>
      <c r="D1" s="142" t="s">
        <v>235</v>
      </c>
      <c r="E1" s="142" t="s">
        <v>236</v>
      </c>
      <c r="F1" s="142" t="s">
        <v>237</v>
      </c>
      <c r="G1" s="142" t="s">
        <v>238</v>
      </c>
      <c r="H1" s="142" t="s">
        <v>239</v>
      </c>
      <c r="I1" s="142" t="s">
        <v>240</v>
      </c>
      <c r="J1" s="142" t="s">
        <v>241</v>
      </c>
      <c r="K1" s="143" t="s">
        <v>242</v>
      </c>
    </row>
    <row r="2">
      <c r="A2" s="144" t="s">
        <v>243</v>
      </c>
      <c r="B2" s="145" t="s">
        <v>244</v>
      </c>
      <c r="C2" s="145" t="s">
        <v>245</v>
      </c>
      <c r="D2" s="145" t="s">
        <v>246</v>
      </c>
      <c r="E2" s="145" t="s">
        <v>247</v>
      </c>
      <c r="F2" s="145" t="s">
        <v>248</v>
      </c>
      <c r="G2" s="145" t="s">
        <v>249</v>
      </c>
      <c r="H2" s="145" t="s">
        <v>250</v>
      </c>
      <c r="I2" s="145" t="s">
        <v>251</v>
      </c>
      <c r="J2" s="145" t="s">
        <v>252</v>
      </c>
      <c r="K2" s="146" t="s">
        <v>253</v>
      </c>
    </row>
    <row r="3">
      <c r="A3" s="147"/>
      <c r="B3" s="148" t="s">
        <v>254</v>
      </c>
      <c r="C3" s="148" t="s">
        <v>255</v>
      </c>
      <c r="D3" s="148" t="s">
        <v>256</v>
      </c>
      <c r="E3" s="148" t="s">
        <v>257</v>
      </c>
      <c r="F3" s="148" t="s">
        <v>258</v>
      </c>
      <c r="G3" s="148" t="s">
        <v>259</v>
      </c>
      <c r="H3" s="148" t="s">
        <v>260</v>
      </c>
      <c r="I3" s="148" t="s">
        <v>261</v>
      </c>
      <c r="J3" s="148" t="s">
        <v>262</v>
      </c>
      <c r="K3" s="149" t="s">
        <v>263</v>
      </c>
    </row>
    <row r="4">
      <c r="A4" s="150"/>
      <c r="B4" s="151" t="s">
        <v>264</v>
      </c>
      <c r="C4" s="152" t="s">
        <v>265</v>
      </c>
      <c r="D4" s="152" t="s">
        <v>266</v>
      </c>
      <c r="E4" s="152" t="s">
        <v>267</v>
      </c>
      <c r="F4" s="151" t="s">
        <v>268</v>
      </c>
      <c r="G4" s="151" t="s">
        <v>269</v>
      </c>
      <c r="H4" s="151" t="s">
        <v>270</v>
      </c>
      <c r="I4" s="151" t="s">
        <v>271</v>
      </c>
      <c r="J4" s="151" t="s">
        <v>272</v>
      </c>
      <c r="K4" s="153" t="s">
        <v>273</v>
      </c>
    </row>
    <row r="5">
      <c r="A5" s="144" t="s">
        <v>274</v>
      </c>
      <c r="B5" s="145" t="s">
        <v>244</v>
      </c>
      <c r="C5" s="145" t="s">
        <v>275</v>
      </c>
      <c r="D5" s="145" t="s">
        <v>276</v>
      </c>
      <c r="E5" s="145" t="s">
        <v>277</v>
      </c>
      <c r="F5" s="145" t="s">
        <v>278</v>
      </c>
      <c r="G5" s="145" t="s">
        <v>279</v>
      </c>
      <c r="H5" s="145" t="s">
        <v>280</v>
      </c>
      <c r="I5" s="145" t="s">
        <v>281</v>
      </c>
      <c r="J5" s="145" t="s">
        <v>282</v>
      </c>
      <c r="K5" s="146" t="s">
        <v>283</v>
      </c>
    </row>
    <row r="6">
      <c r="A6" s="147"/>
      <c r="B6" s="148" t="s">
        <v>254</v>
      </c>
      <c r="C6" s="148" t="s">
        <v>284</v>
      </c>
      <c r="D6" s="148" t="s">
        <v>285</v>
      </c>
      <c r="E6" s="148" t="s">
        <v>286</v>
      </c>
      <c r="F6" s="148" t="s">
        <v>287</v>
      </c>
      <c r="G6" s="148" t="s">
        <v>288</v>
      </c>
      <c r="H6" s="148" t="s">
        <v>289</v>
      </c>
      <c r="I6" s="148" t="s">
        <v>290</v>
      </c>
      <c r="J6" s="148" t="s">
        <v>291</v>
      </c>
      <c r="K6" s="149" t="s">
        <v>292</v>
      </c>
    </row>
    <row r="7">
      <c r="A7" s="150"/>
      <c r="B7" s="154" t="s">
        <v>264</v>
      </c>
      <c r="C7" s="152" t="s">
        <v>293</v>
      </c>
      <c r="D7" s="152" t="s">
        <v>294</v>
      </c>
      <c r="E7" s="154" t="s">
        <v>295</v>
      </c>
      <c r="F7" s="154" t="s">
        <v>296</v>
      </c>
      <c r="G7" s="154" t="s">
        <v>297</v>
      </c>
      <c r="H7" s="154" t="s">
        <v>298</v>
      </c>
      <c r="I7" s="154" t="s">
        <v>299</v>
      </c>
      <c r="J7" s="154" t="s">
        <v>300</v>
      </c>
      <c r="K7" s="155" t="s">
        <v>301</v>
      </c>
    </row>
    <row r="8">
      <c r="A8" s="144" t="s">
        <v>302</v>
      </c>
      <c r="B8" s="145" t="s">
        <v>244</v>
      </c>
      <c r="C8" s="145" t="s">
        <v>303</v>
      </c>
      <c r="D8" s="145" t="s">
        <v>304</v>
      </c>
      <c r="E8" s="145" t="s">
        <v>305</v>
      </c>
      <c r="F8" s="145" t="s">
        <v>306</v>
      </c>
      <c r="G8" s="145" t="s">
        <v>307</v>
      </c>
      <c r="H8" s="145" t="s">
        <v>308</v>
      </c>
      <c r="I8" s="145" t="s">
        <v>309</v>
      </c>
      <c r="J8" s="145" t="s">
        <v>310</v>
      </c>
      <c r="K8" s="146" t="s">
        <v>311</v>
      </c>
    </row>
    <row r="9">
      <c r="A9" s="147"/>
      <c r="B9" s="148" t="s">
        <v>254</v>
      </c>
      <c r="C9" s="148" t="s">
        <v>312</v>
      </c>
      <c r="D9" s="148" t="s">
        <v>313</v>
      </c>
      <c r="E9" s="148" t="s">
        <v>314</v>
      </c>
      <c r="F9" s="148" t="s">
        <v>315</v>
      </c>
      <c r="G9" s="148" t="s">
        <v>316</v>
      </c>
      <c r="H9" s="148" t="s">
        <v>317</v>
      </c>
      <c r="I9" s="148" t="s">
        <v>318</v>
      </c>
      <c r="J9" s="148" t="s">
        <v>319</v>
      </c>
      <c r="K9" s="149" t="s">
        <v>320</v>
      </c>
    </row>
    <row r="10">
      <c r="A10" s="150"/>
      <c r="B10" s="154" t="s">
        <v>264</v>
      </c>
      <c r="C10" s="152" t="s">
        <v>321</v>
      </c>
      <c r="D10" s="152" t="s">
        <v>322</v>
      </c>
      <c r="E10" s="154" t="s">
        <v>323</v>
      </c>
      <c r="F10" s="154" t="s">
        <v>324</v>
      </c>
      <c r="G10" s="154" t="s">
        <v>325</v>
      </c>
      <c r="H10" s="154" t="s">
        <v>326</v>
      </c>
      <c r="I10" s="154" t="s">
        <v>327</v>
      </c>
      <c r="J10" s="154" t="s">
        <v>328</v>
      </c>
      <c r="K10" s="155" t="s">
        <v>329</v>
      </c>
    </row>
    <row r="11">
      <c r="A11" s="144" t="s">
        <v>330</v>
      </c>
      <c r="B11" s="145" t="s">
        <v>244</v>
      </c>
      <c r="C11" s="145" t="s">
        <v>331</v>
      </c>
      <c r="D11" s="156" t="s">
        <v>332</v>
      </c>
      <c r="E11" s="145" t="s">
        <v>333</v>
      </c>
      <c r="F11" s="145" t="s">
        <v>334</v>
      </c>
      <c r="G11" s="145" t="s">
        <v>335</v>
      </c>
      <c r="H11" s="145" t="s">
        <v>336</v>
      </c>
      <c r="I11" s="145" t="s">
        <v>337</v>
      </c>
      <c r="J11" s="145" t="s">
        <v>338</v>
      </c>
      <c r="K11" s="146" t="s">
        <v>339</v>
      </c>
    </row>
    <row r="12">
      <c r="A12" s="147"/>
      <c r="B12" s="148" t="s">
        <v>254</v>
      </c>
      <c r="C12" s="148" t="s">
        <v>340</v>
      </c>
      <c r="D12" s="148" t="s">
        <v>341</v>
      </c>
      <c r="E12" s="148" t="s">
        <v>342</v>
      </c>
      <c r="F12" s="148" t="s">
        <v>343</v>
      </c>
      <c r="G12" s="148" t="s">
        <v>344</v>
      </c>
      <c r="H12" s="148" t="s">
        <v>345</v>
      </c>
      <c r="I12" s="148" t="s">
        <v>346</v>
      </c>
      <c r="J12" s="148" t="s">
        <v>347</v>
      </c>
      <c r="K12" s="149" t="s">
        <v>348</v>
      </c>
    </row>
    <row r="13">
      <c r="A13" s="150"/>
      <c r="B13" s="154" t="s">
        <v>264</v>
      </c>
      <c r="C13" s="152" t="s">
        <v>349</v>
      </c>
      <c r="D13" s="152" t="s">
        <v>350</v>
      </c>
      <c r="E13" s="154" t="s">
        <v>351</v>
      </c>
      <c r="F13" s="154" t="s">
        <v>352</v>
      </c>
      <c r="G13" s="154" t="s">
        <v>353</v>
      </c>
      <c r="H13" s="154" t="s">
        <v>354</v>
      </c>
      <c r="I13" s="154" t="s">
        <v>355</v>
      </c>
      <c r="J13" s="154" t="s">
        <v>356</v>
      </c>
      <c r="K13" s="155" t="s">
        <v>357</v>
      </c>
    </row>
    <row r="14">
      <c r="A14" s="157" t="s">
        <v>358</v>
      </c>
      <c r="B14" s="145" t="s">
        <v>244</v>
      </c>
      <c r="C14" s="145" t="s">
        <v>359</v>
      </c>
      <c r="D14" s="156" t="s">
        <v>360</v>
      </c>
      <c r="E14" s="156" t="s">
        <v>361</v>
      </c>
      <c r="F14" s="145" t="s">
        <v>362</v>
      </c>
      <c r="G14" s="145" t="s">
        <v>363</v>
      </c>
      <c r="H14" s="145" t="s">
        <v>364</v>
      </c>
      <c r="I14" s="145" t="s">
        <v>365</v>
      </c>
      <c r="J14" s="145" t="s">
        <v>366</v>
      </c>
      <c r="K14" s="146" t="s">
        <v>367</v>
      </c>
    </row>
    <row r="15">
      <c r="B15" s="148" t="s">
        <v>254</v>
      </c>
      <c r="C15" s="148" t="s">
        <v>368</v>
      </c>
      <c r="D15" s="148" t="s">
        <v>369</v>
      </c>
      <c r="E15" s="148" t="s">
        <v>370</v>
      </c>
      <c r="F15" s="148" t="s">
        <v>371</v>
      </c>
      <c r="G15" s="148" t="s">
        <v>372</v>
      </c>
      <c r="H15" s="148" t="s">
        <v>373</v>
      </c>
      <c r="I15" s="148" t="s">
        <v>374</v>
      </c>
      <c r="J15" s="148" t="s">
        <v>375</v>
      </c>
      <c r="K15" s="149" t="s">
        <v>376</v>
      </c>
    </row>
    <row r="16">
      <c r="B16" s="154" t="s">
        <v>264</v>
      </c>
      <c r="C16" s="152" t="s">
        <v>377</v>
      </c>
      <c r="D16" s="158" t="s">
        <v>378</v>
      </c>
      <c r="E16" s="154" t="s">
        <v>379</v>
      </c>
      <c r="F16" s="154" t="s">
        <v>380</v>
      </c>
      <c r="G16" s="154" t="s">
        <v>381</v>
      </c>
      <c r="H16" s="154" t="s">
        <v>382</v>
      </c>
      <c r="I16" s="154" t="s">
        <v>383</v>
      </c>
      <c r="J16" s="154" t="s">
        <v>384</v>
      </c>
      <c r="K16" s="155" t="s">
        <v>385</v>
      </c>
    </row>
  </sheetData>
  <mergeCells count="5">
    <mergeCell ref="A2:A4"/>
    <mergeCell ref="A5:A7"/>
    <mergeCell ref="A8:A10"/>
    <mergeCell ref="A11:A13"/>
    <mergeCell ref="A14:A1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57"/>
    <col customWidth="1" min="4" max="4" width="13.43"/>
    <col customWidth="1" min="5" max="5" width="17.14"/>
    <col customWidth="1" min="6" max="6" width="18.43"/>
  </cols>
  <sheetData>
    <row r="1">
      <c r="A1" s="159"/>
      <c r="B1" s="160" t="s">
        <v>386</v>
      </c>
      <c r="E1" s="159"/>
      <c r="F1" s="161"/>
      <c r="G1" s="161"/>
      <c r="H1" s="161"/>
      <c r="I1" s="161"/>
      <c r="J1" s="161"/>
      <c r="K1" s="161"/>
      <c r="L1" s="161"/>
      <c r="M1" s="161"/>
      <c r="N1" s="161"/>
      <c r="O1" s="161"/>
    </row>
    <row r="2">
      <c r="A2" s="159"/>
      <c r="B2" s="159"/>
      <c r="C2" s="159"/>
      <c r="D2" s="159"/>
      <c r="E2" s="159"/>
      <c r="F2" s="161"/>
      <c r="G2" s="161"/>
      <c r="H2" s="161"/>
      <c r="I2" s="161"/>
      <c r="J2" s="161"/>
      <c r="K2" s="161"/>
      <c r="L2" s="161"/>
      <c r="M2" s="161"/>
      <c r="N2" s="161"/>
      <c r="O2" s="161"/>
    </row>
    <row r="3">
      <c r="A3" s="162"/>
      <c r="B3" s="163" t="s">
        <v>274</v>
      </c>
      <c r="C3" s="163" t="s">
        <v>243</v>
      </c>
      <c r="D3" s="163" t="s">
        <v>358</v>
      </c>
      <c r="E3" s="163" t="s">
        <v>387</v>
      </c>
      <c r="F3" s="163" t="s">
        <v>302</v>
      </c>
      <c r="G3" s="161"/>
      <c r="H3" s="161"/>
      <c r="I3" s="161"/>
      <c r="J3" s="161"/>
      <c r="K3" s="161"/>
      <c r="L3" s="161"/>
      <c r="M3" s="161"/>
      <c r="N3" s="161"/>
      <c r="O3" s="161"/>
    </row>
    <row r="4">
      <c r="A4" s="164" t="s">
        <v>388</v>
      </c>
      <c r="B4" s="165" t="s">
        <v>389</v>
      </c>
      <c r="C4" s="165" t="s">
        <v>389</v>
      </c>
      <c r="D4" s="165" t="s">
        <v>389</v>
      </c>
      <c r="E4" s="165" t="s">
        <v>389</v>
      </c>
      <c r="F4" s="165" t="s">
        <v>389</v>
      </c>
      <c r="G4" s="161"/>
      <c r="H4" s="161"/>
      <c r="I4" s="161"/>
      <c r="J4" s="161"/>
      <c r="K4" s="161"/>
      <c r="L4" s="161"/>
      <c r="M4" s="161"/>
      <c r="N4" s="161"/>
      <c r="O4" s="161"/>
    </row>
    <row r="5">
      <c r="A5" s="164" t="s">
        <v>390</v>
      </c>
      <c r="B5" s="165" t="s">
        <v>389</v>
      </c>
      <c r="C5" s="165" t="s">
        <v>389</v>
      </c>
      <c r="D5" s="165" t="s">
        <v>389</v>
      </c>
      <c r="E5" s="165" t="s">
        <v>389</v>
      </c>
      <c r="F5" s="165" t="s">
        <v>389</v>
      </c>
      <c r="G5" s="161"/>
      <c r="H5" s="161"/>
      <c r="I5" s="161"/>
      <c r="J5" s="161"/>
      <c r="K5" s="161"/>
      <c r="L5" s="161"/>
      <c r="M5" s="161"/>
      <c r="N5" s="161"/>
      <c r="O5" s="161"/>
    </row>
    <row r="6">
      <c r="A6" s="164" t="s">
        <v>391</v>
      </c>
      <c r="B6" s="165" t="s">
        <v>389</v>
      </c>
      <c r="C6" s="165" t="s">
        <v>389</v>
      </c>
      <c r="D6" s="165" t="s">
        <v>389</v>
      </c>
      <c r="E6" s="165" t="s">
        <v>389</v>
      </c>
      <c r="F6" s="165" t="s">
        <v>389</v>
      </c>
      <c r="G6" s="161"/>
      <c r="H6" s="161"/>
      <c r="I6" s="161"/>
      <c r="J6" s="161"/>
      <c r="K6" s="161"/>
      <c r="L6" s="161"/>
      <c r="M6" s="161"/>
      <c r="N6" s="161"/>
      <c r="O6" s="161"/>
    </row>
    <row r="7">
      <c r="A7" s="164" t="s">
        <v>392</v>
      </c>
      <c r="B7" s="165" t="s">
        <v>389</v>
      </c>
      <c r="C7" s="165" t="s">
        <v>389</v>
      </c>
      <c r="D7" s="165" t="s">
        <v>389</v>
      </c>
      <c r="E7" s="165" t="s">
        <v>389</v>
      </c>
      <c r="F7" s="166" t="s">
        <v>393</v>
      </c>
      <c r="G7" s="161"/>
      <c r="H7" s="161"/>
      <c r="I7" s="161"/>
      <c r="J7" s="161"/>
      <c r="K7" s="161"/>
      <c r="L7" s="161"/>
      <c r="M7" s="161"/>
      <c r="N7" s="161"/>
      <c r="O7" s="161"/>
    </row>
    <row r="8">
      <c r="A8" s="164" t="s">
        <v>394</v>
      </c>
      <c r="B8" s="167"/>
      <c r="C8" s="167"/>
      <c r="D8" s="167"/>
      <c r="E8" s="167"/>
      <c r="F8" s="167"/>
      <c r="G8" s="161"/>
      <c r="H8" s="161"/>
      <c r="I8" s="161"/>
      <c r="J8" s="161"/>
      <c r="K8" s="161"/>
      <c r="L8" s="161"/>
      <c r="M8" s="161"/>
      <c r="N8" s="161"/>
      <c r="O8" s="161"/>
    </row>
    <row r="9">
      <c r="A9" s="164" t="s">
        <v>395</v>
      </c>
      <c r="B9" s="167"/>
      <c r="C9" s="167"/>
      <c r="D9" s="167"/>
      <c r="E9" s="167"/>
      <c r="F9" s="167"/>
      <c r="G9" s="161"/>
      <c r="H9" s="161"/>
      <c r="I9" s="161"/>
      <c r="J9" s="161"/>
      <c r="K9" s="161"/>
      <c r="L9" s="161"/>
      <c r="M9" s="161"/>
      <c r="N9" s="161"/>
      <c r="O9" s="161"/>
    </row>
    <row r="10">
      <c r="A10" s="159"/>
      <c r="B10" s="168"/>
      <c r="C10" s="168"/>
      <c r="D10" s="168"/>
      <c r="E10" s="168"/>
      <c r="F10" s="161"/>
      <c r="G10" s="161"/>
      <c r="H10" s="161"/>
      <c r="I10" s="161"/>
      <c r="J10" s="161"/>
      <c r="K10" s="161"/>
      <c r="L10" s="161"/>
      <c r="M10" s="161"/>
      <c r="N10" s="161"/>
      <c r="O10" s="161"/>
    </row>
    <row r="11">
      <c r="A11" s="159"/>
      <c r="B11" s="168"/>
      <c r="C11" s="168"/>
      <c r="D11" s="168"/>
      <c r="E11" s="168"/>
      <c r="F11" s="161"/>
      <c r="G11" s="161"/>
      <c r="H11" s="161"/>
      <c r="I11" s="161"/>
      <c r="J11" s="161"/>
      <c r="K11" s="161"/>
      <c r="L11" s="161"/>
      <c r="M11" s="161"/>
      <c r="N11" s="161"/>
      <c r="O11" s="161"/>
    </row>
    <row r="12">
      <c r="A12" s="169" t="s">
        <v>388</v>
      </c>
      <c r="B12" s="170" t="s">
        <v>396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0"/>
    </row>
    <row r="13">
      <c r="A13" s="171" t="s">
        <v>397</v>
      </c>
      <c r="B13" s="172" t="s">
        <v>398</v>
      </c>
      <c r="C13" s="9"/>
      <c r="D13" s="10"/>
      <c r="E13" s="172" t="s">
        <v>399</v>
      </c>
      <c r="F13" s="9"/>
      <c r="G13" s="10"/>
      <c r="H13" s="172" t="s">
        <v>400</v>
      </c>
      <c r="I13" s="9"/>
      <c r="J13" s="10"/>
      <c r="K13" s="172" t="s">
        <v>401</v>
      </c>
      <c r="L13" s="9"/>
      <c r="M13" s="10"/>
      <c r="N13" s="171" t="s">
        <v>402</v>
      </c>
      <c r="O13" s="171" t="s">
        <v>403</v>
      </c>
    </row>
    <row r="14">
      <c r="A14" s="150"/>
      <c r="B14" s="173" t="s">
        <v>404</v>
      </c>
      <c r="C14" s="173" t="s">
        <v>405</v>
      </c>
      <c r="D14" s="173" t="s">
        <v>406</v>
      </c>
      <c r="E14" s="173" t="s">
        <v>407</v>
      </c>
      <c r="F14" s="173" t="s">
        <v>408</v>
      </c>
      <c r="G14" s="173" t="s">
        <v>409</v>
      </c>
      <c r="H14" s="173" t="s">
        <v>407</v>
      </c>
      <c r="I14" s="173" t="s">
        <v>408</v>
      </c>
      <c r="J14" s="173" t="s">
        <v>409</v>
      </c>
      <c r="K14" s="173" t="s">
        <v>410</v>
      </c>
      <c r="L14" s="173" t="s">
        <v>411</v>
      </c>
      <c r="M14" s="173" t="s">
        <v>412</v>
      </c>
      <c r="N14" s="150"/>
      <c r="O14" s="150"/>
    </row>
    <row r="15">
      <c r="A15" s="173" t="s">
        <v>274</v>
      </c>
      <c r="B15" s="174">
        <v>1.0</v>
      </c>
      <c r="C15" s="173"/>
      <c r="D15" s="173"/>
      <c r="E15" s="173"/>
      <c r="F15" s="173"/>
      <c r="G15" s="173"/>
      <c r="H15" s="173"/>
      <c r="I15" s="173"/>
      <c r="J15" s="173"/>
      <c r="K15" s="174">
        <v>2.0</v>
      </c>
      <c r="L15" s="173"/>
      <c r="M15" s="173"/>
      <c r="N15" s="173"/>
      <c r="O15" s="174">
        <v>3.0</v>
      </c>
    </row>
    <row r="16">
      <c r="A16" s="173" t="s">
        <v>243</v>
      </c>
      <c r="B16" s="174">
        <v>1.0</v>
      </c>
      <c r="C16" s="173"/>
      <c r="D16" s="173"/>
      <c r="E16" s="173"/>
      <c r="F16" s="173"/>
      <c r="G16" s="173"/>
      <c r="H16" s="173"/>
      <c r="I16" s="173"/>
      <c r="J16" s="173"/>
      <c r="K16" s="174">
        <v>2.0</v>
      </c>
      <c r="L16" s="173"/>
      <c r="M16" s="173"/>
      <c r="N16" s="173"/>
      <c r="O16" s="174">
        <v>3.0</v>
      </c>
    </row>
    <row r="17">
      <c r="A17" s="173" t="s">
        <v>358</v>
      </c>
      <c r="B17" s="174">
        <v>1.0</v>
      </c>
      <c r="C17" s="173"/>
      <c r="D17" s="174"/>
      <c r="E17" s="173"/>
      <c r="F17" s="174"/>
      <c r="G17" s="173"/>
      <c r="H17" s="173"/>
      <c r="I17" s="173"/>
      <c r="J17" s="173"/>
      <c r="K17" s="174">
        <v>2.0</v>
      </c>
      <c r="L17" s="173"/>
      <c r="M17" s="174"/>
      <c r="N17" s="173"/>
      <c r="O17" s="174">
        <v>3.0</v>
      </c>
    </row>
    <row r="18">
      <c r="A18" s="173" t="s">
        <v>387</v>
      </c>
      <c r="B18" s="174">
        <v>1.0</v>
      </c>
      <c r="C18" s="173"/>
      <c r="D18" s="174"/>
      <c r="E18" s="173"/>
      <c r="F18" s="174"/>
      <c r="G18" s="173"/>
      <c r="H18" s="173"/>
      <c r="I18" s="173"/>
      <c r="J18" s="173"/>
      <c r="K18" s="174">
        <v>2.0</v>
      </c>
      <c r="L18" s="173"/>
      <c r="M18" s="174"/>
      <c r="N18" s="173"/>
      <c r="O18" s="174">
        <v>3.0</v>
      </c>
    </row>
    <row r="19">
      <c r="A19" s="173" t="s">
        <v>302</v>
      </c>
      <c r="B19" s="174">
        <v>1.0</v>
      </c>
      <c r="C19" s="173"/>
      <c r="D19" s="174"/>
      <c r="E19" s="173"/>
      <c r="F19" s="174"/>
      <c r="G19" s="173"/>
      <c r="H19" s="173"/>
      <c r="I19" s="173"/>
      <c r="J19" s="173"/>
      <c r="K19" s="174">
        <v>2.0</v>
      </c>
      <c r="L19" s="173"/>
      <c r="M19" s="174"/>
      <c r="N19" s="173"/>
      <c r="O19" s="174">
        <v>3.0</v>
      </c>
    </row>
    <row r="20">
      <c r="A20" s="161"/>
      <c r="B20" s="161"/>
      <c r="C20" s="161"/>
      <c r="D20" s="161"/>
      <c r="E20" s="161"/>
      <c r="F20" s="161"/>
      <c r="G20" s="161"/>
      <c r="H20" s="161"/>
      <c r="I20" s="161"/>
      <c r="J20" s="161"/>
      <c r="K20" s="161"/>
      <c r="L20" s="161"/>
      <c r="M20" s="161"/>
      <c r="N20" s="161"/>
      <c r="O20" s="161"/>
    </row>
    <row r="21">
      <c r="A21" s="169" t="s">
        <v>390</v>
      </c>
      <c r="B21" s="170" t="s">
        <v>396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10"/>
    </row>
    <row r="22">
      <c r="A22" s="171" t="s">
        <v>397</v>
      </c>
      <c r="B22" s="172" t="s">
        <v>398</v>
      </c>
      <c r="C22" s="9"/>
      <c r="D22" s="10"/>
      <c r="E22" s="172" t="s">
        <v>399</v>
      </c>
      <c r="F22" s="9"/>
      <c r="G22" s="10"/>
      <c r="H22" s="172" t="s">
        <v>400</v>
      </c>
      <c r="I22" s="9"/>
      <c r="J22" s="10"/>
      <c r="K22" s="172" t="s">
        <v>401</v>
      </c>
      <c r="L22" s="9"/>
      <c r="M22" s="10"/>
      <c r="N22" s="171" t="s">
        <v>402</v>
      </c>
      <c r="O22" s="171" t="s">
        <v>403</v>
      </c>
    </row>
    <row r="23">
      <c r="A23" s="150"/>
      <c r="B23" s="173" t="s">
        <v>404</v>
      </c>
      <c r="C23" s="173" t="s">
        <v>405</v>
      </c>
      <c r="D23" s="173" t="s">
        <v>406</v>
      </c>
      <c r="E23" s="173" t="s">
        <v>407</v>
      </c>
      <c r="F23" s="173" t="s">
        <v>408</v>
      </c>
      <c r="G23" s="173" t="s">
        <v>409</v>
      </c>
      <c r="H23" s="173" t="s">
        <v>407</v>
      </c>
      <c r="I23" s="173" t="s">
        <v>408</v>
      </c>
      <c r="J23" s="173" t="s">
        <v>409</v>
      </c>
      <c r="K23" s="173" t="s">
        <v>410</v>
      </c>
      <c r="L23" s="173" t="s">
        <v>411</v>
      </c>
      <c r="M23" s="173" t="s">
        <v>412</v>
      </c>
      <c r="N23" s="150"/>
      <c r="O23" s="150"/>
    </row>
    <row r="24">
      <c r="A24" s="173" t="s">
        <v>274</v>
      </c>
      <c r="B24" s="174">
        <v>1.0</v>
      </c>
      <c r="C24" s="173"/>
      <c r="D24" s="173"/>
      <c r="E24" s="173"/>
      <c r="F24" s="173"/>
      <c r="G24" s="173"/>
      <c r="H24" s="173"/>
      <c r="I24" s="173"/>
      <c r="J24" s="173"/>
      <c r="K24" s="174">
        <v>2.0</v>
      </c>
      <c r="L24" s="173"/>
      <c r="M24" s="173"/>
      <c r="N24" s="173"/>
      <c r="O24" s="174">
        <v>3.0</v>
      </c>
    </row>
    <row r="25">
      <c r="A25" s="173" t="s">
        <v>243</v>
      </c>
      <c r="B25" s="174">
        <v>1.0</v>
      </c>
      <c r="C25" s="173"/>
      <c r="D25" s="173"/>
      <c r="E25" s="173"/>
      <c r="F25" s="173"/>
      <c r="G25" s="173"/>
      <c r="H25" s="173"/>
      <c r="I25" s="173"/>
      <c r="J25" s="173"/>
      <c r="K25" s="174">
        <v>2.0</v>
      </c>
      <c r="L25" s="173"/>
      <c r="M25" s="173"/>
      <c r="N25" s="173"/>
      <c r="O25" s="174">
        <v>3.0</v>
      </c>
    </row>
    <row r="26">
      <c r="A26" s="173" t="s">
        <v>358</v>
      </c>
      <c r="B26" s="174">
        <v>1.0</v>
      </c>
      <c r="C26" s="173"/>
      <c r="D26" s="174"/>
      <c r="E26" s="173"/>
      <c r="F26" s="174"/>
      <c r="G26" s="173"/>
      <c r="H26" s="173"/>
      <c r="I26" s="173"/>
      <c r="J26" s="173"/>
      <c r="K26" s="174">
        <v>2.0</v>
      </c>
      <c r="L26" s="173"/>
      <c r="M26" s="174"/>
      <c r="N26" s="173"/>
      <c r="O26" s="174">
        <v>3.0</v>
      </c>
    </row>
    <row r="27">
      <c r="A27" s="173" t="s">
        <v>387</v>
      </c>
      <c r="B27" s="174">
        <v>1.0</v>
      </c>
      <c r="C27" s="173"/>
      <c r="D27" s="174"/>
      <c r="E27" s="173"/>
      <c r="F27" s="174"/>
      <c r="G27" s="173"/>
      <c r="H27" s="173"/>
      <c r="I27" s="173"/>
      <c r="J27" s="173"/>
      <c r="K27" s="174">
        <v>2.0</v>
      </c>
      <c r="L27" s="173"/>
      <c r="M27" s="174"/>
      <c r="N27" s="173"/>
      <c r="O27" s="174">
        <v>3.0</v>
      </c>
    </row>
    <row r="28">
      <c r="A28" s="173" t="s">
        <v>302</v>
      </c>
      <c r="B28" s="174">
        <v>1.0</v>
      </c>
      <c r="C28" s="173"/>
      <c r="D28" s="174"/>
      <c r="E28" s="173"/>
      <c r="F28" s="174"/>
      <c r="G28" s="173"/>
      <c r="H28" s="173"/>
      <c r="I28" s="173"/>
      <c r="J28" s="173"/>
      <c r="K28" s="174">
        <v>2.0</v>
      </c>
      <c r="L28" s="173"/>
      <c r="M28" s="174"/>
      <c r="N28" s="173"/>
      <c r="O28" s="174">
        <v>3.0</v>
      </c>
    </row>
    <row r="29">
      <c r="A29" s="161"/>
      <c r="B29" s="161"/>
      <c r="C29" s="161"/>
      <c r="D29" s="161"/>
      <c r="E29" s="161"/>
      <c r="F29" s="161"/>
      <c r="G29" s="161"/>
      <c r="H29" s="161"/>
      <c r="I29" s="161"/>
      <c r="J29" s="161"/>
      <c r="K29" s="161"/>
      <c r="L29" s="161"/>
      <c r="M29" s="161"/>
      <c r="N29" s="161"/>
      <c r="O29" s="161"/>
    </row>
    <row r="30">
      <c r="A30" s="169" t="s">
        <v>391</v>
      </c>
      <c r="B30" s="170" t="s">
        <v>396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10"/>
    </row>
    <row r="31">
      <c r="A31" s="171" t="s">
        <v>397</v>
      </c>
      <c r="B31" s="172" t="s">
        <v>398</v>
      </c>
      <c r="C31" s="9"/>
      <c r="D31" s="10"/>
      <c r="E31" s="172" t="s">
        <v>399</v>
      </c>
      <c r="F31" s="9"/>
      <c r="G31" s="10"/>
      <c r="H31" s="172" t="s">
        <v>400</v>
      </c>
      <c r="I31" s="9"/>
      <c r="J31" s="10"/>
      <c r="K31" s="172" t="s">
        <v>401</v>
      </c>
      <c r="L31" s="9"/>
      <c r="M31" s="10"/>
      <c r="N31" s="171" t="s">
        <v>402</v>
      </c>
      <c r="O31" s="171" t="s">
        <v>403</v>
      </c>
    </row>
    <row r="32">
      <c r="A32" s="150"/>
      <c r="B32" s="173" t="s">
        <v>404</v>
      </c>
      <c r="C32" s="173" t="s">
        <v>405</v>
      </c>
      <c r="D32" s="173" t="s">
        <v>406</v>
      </c>
      <c r="E32" s="173" t="s">
        <v>407</v>
      </c>
      <c r="F32" s="173" t="s">
        <v>408</v>
      </c>
      <c r="G32" s="173" t="s">
        <v>409</v>
      </c>
      <c r="H32" s="173" t="s">
        <v>407</v>
      </c>
      <c r="I32" s="173" t="s">
        <v>408</v>
      </c>
      <c r="J32" s="173" t="s">
        <v>409</v>
      </c>
      <c r="K32" s="173" t="s">
        <v>410</v>
      </c>
      <c r="L32" s="173" t="s">
        <v>411</v>
      </c>
      <c r="M32" s="173" t="s">
        <v>412</v>
      </c>
      <c r="N32" s="150"/>
      <c r="O32" s="150"/>
    </row>
    <row r="33">
      <c r="A33" s="173" t="s">
        <v>274</v>
      </c>
      <c r="B33" s="174">
        <v>1.0</v>
      </c>
      <c r="C33" s="173"/>
      <c r="D33" s="173"/>
      <c r="E33" s="173"/>
      <c r="F33" s="173"/>
      <c r="G33" s="173"/>
      <c r="H33" s="173"/>
      <c r="I33" s="173"/>
      <c r="J33" s="173"/>
      <c r="K33" s="174">
        <v>2.0</v>
      </c>
      <c r="L33" s="173"/>
      <c r="M33" s="173"/>
      <c r="N33" s="173"/>
      <c r="O33" s="174">
        <v>3.0</v>
      </c>
    </row>
    <row r="34">
      <c r="A34" s="173" t="s">
        <v>243</v>
      </c>
      <c r="B34" s="174">
        <v>1.0</v>
      </c>
      <c r="C34" s="173"/>
      <c r="D34" s="173"/>
      <c r="E34" s="173"/>
      <c r="F34" s="173"/>
      <c r="G34" s="173"/>
      <c r="H34" s="173"/>
      <c r="I34" s="173"/>
      <c r="J34" s="173"/>
      <c r="K34" s="174">
        <v>2.0</v>
      </c>
      <c r="L34" s="173"/>
      <c r="M34" s="173"/>
      <c r="N34" s="173"/>
      <c r="O34" s="174">
        <v>3.0</v>
      </c>
    </row>
    <row r="35">
      <c r="A35" s="173" t="s">
        <v>358</v>
      </c>
      <c r="B35" s="174">
        <v>1.0</v>
      </c>
      <c r="C35" s="173"/>
      <c r="D35" s="174"/>
      <c r="E35" s="173"/>
      <c r="F35" s="174"/>
      <c r="G35" s="173"/>
      <c r="H35" s="173"/>
      <c r="I35" s="173"/>
      <c r="J35" s="173"/>
      <c r="K35" s="174">
        <v>2.0</v>
      </c>
      <c r="L35" s="173"/>
      <c r="M35" s="174"/>
      <c r="N35" s="173"/>
      <c r="O35" s="174">
        <v>3.0</v>
      </c>
    </row>
    <row r="36">
      <c r="A36" s="173" t="s">
        <v>387</v>
      </c>
      <c r="B36" s="174">
        <v>1.0</v>
      </c>
      <c r="C36" s="173"/>
      <c r="D36" s="174"/>
      <c r="E36" s="173"/>
      <c r="F36" s="174"/>
      <c r="G36" s="173"/>
      <c r="H36" s="173"/>
      <c r="I36" s="173"/>
      <c r="J36" s="173"/>
      <c r="K36" s="174">
        <v>2.0</v>
      </c>
      <c r="L36" s="173"/>
      <c r="M36" s="174"/>
      <c r="N36" s="173"/>
      <c r="O36" s="174">
        <v>3.0</v>
      </c>
    </row>
    <row r="37">
      <c r="A37" s="173" t="s">
        <v>302</v>
      </c>
      <c r="B37" s="174">
        <v>1.0</v>
      </c>
      <c r="C37" s="173"/>
      <c r="D37" s="174"/>
      <c r="E37" s="173"/>
      <c r="F37" s="174"/>
      <c r="G37" s="173"/>
      <c r="H37" s="173"/>
      <c r="I37" s="173"/>
      <c r="J37" s="173"/>
      <c r="K37" s="174">
        <v>2.0</v>
      </c>
      <c r="L37" s="173"/>
      <c r="M37" s="174"/>
      <c r="N37" s="173"/>
      <c r="O37" s="174">
        <v>3.0</v>
      </c>
    </row>
    <row r="38">
      <c r="A38" s="161"/>
      <c r="B38" s="161"/>
      <c r="C38" s="161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</row>
    <row r="39">
      <c r="A39" s="169" t="s">
        <v>392</v>
      </c>
      <c r="B39" s="170" t="s">
        <v>396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10"/>
    </row>
    <row r="40">
      <c r="A40" s="171" t="s">
        <v>397</v>
      </c>
      <c r="B40" s="172" t="s">
        <v>398</v>
      </c>
      <c r="C40" s="9"/>
      <c r="D40" s="10"/>
      <c r="E40" s="172" t="s">
        <v>399</v>
      </c>
      <c r="F40" s="9"/>
      <c r="G40" s="10"/>
      <c r="H40" s="172" t="s">
        <v>400</v>
      </c>
      <c r="I40" s="9"/>
      <c r="J40" s="10"/>
      <c r="K40" s="172" t="s">
        <v>401</v>
      </c>
      <c r="L40" s="9"/>
      <c r="M40" s="10"/>
      <c r="N40" s="171" t="s">
        <v>402</v>
      </c>
      <c r="O40" s="171" t="s">
        <v>403</v>
      </c>
    </row>
    <row r="41">
      <c r="A41" s="150"/>
      <c r="B41" s="173" t="s">
        <v>404</v>
      </c>
      <c r="C41" s="173" t="s">
        <v>405</v>
      </c>
      <c r="D41" s="173" t="s">
        <v>406</v>
      </c>
      <c r="E41" s="173" t="s">
        <v>407</v>
      </c>
      <c r="F41" s="173" t="s">
        <v>408</v>
      </c>
      <c r="G41" s="173" t="s">
        <v>409</v>
      </c>
      <c r="H41" s="173" t="s">
        <v>407</v>
      </c>
      <c r="I41" s="173" t="s">
        <v>408</v>
      </c>
      <c r="J41" s="173" t="s">
        <v>409</v>
      </c>
      <c r="K41" s="173" t="s">
        <v>410</v>
      </c>
      <c r="L41" s="173" t="s">
        <v>411</v>
      </c>
      <c r="M41" s="173" t="s">
        <v>412</v>
      </c>
      <c r="N41" s="150"/>
      <c r="O41" s="150"/>
    </row>
    <row r="42">
      <c r="A42" s="173" t="s">
        <v>274</v>
      </c>
      <c r="B42" s="174">
        <v>1.0</v>
      </c>
      <c r="C42" s="173"/>
      <c r="D42" s="173"/>
      <c r="E42" s="173"/>
      <c r="F42" s="173"/>
      <c r="G42" s="173"/>
      <c r="H42" s="173"/>
      <c r="I42" s="173"/>
      <c r="J42" s="173"/>
      <c r="K42" s="174">
        <v>2.0</v>
      </c>
      <c r="L42" s="173"/>
      <c r="M42" s="173"/>
      <c r="N42" s="173"/>
      <c r="O42" s="174">
        <v>3.0</v>
      </c>
    </row>
    <row r="43">
      <c r="A43" s="173" t="s">
        <v>243</v>
      </c>
      <c r="B43" s="174">
        <v>1.0</v>
      </c>
      <c r="C43" s="173"/>
      <c r="D43" s="173"/>
      <c r="E43" s="173"/>
      <c r="F43" s="173"/>
      <c r="G43" s="173"/>
      <c r="H43" s="173"/>
      <c r="I43" s="173"/>
      <c r="J43" s="173"/>
      <c r="K43" s="174">
        <v>2.0</v>
      </c>
      <c r="L43" s="173"/>
      <c r="M43" s="173"/>
      <c r="N43" s="173"/>
      <c r="O43" s="174">
        <v>3.0</v>
      </c>
    </row>
    <row r="44">
      <c r="A44" s="173" t="s">
        <v>358</v>
      </c>
      <c r="B44" s="174">
        <v>1.0</v>
      </c>
      <c r="C44" s="173"/>
      <c r="D44" s="174"/>
      <c r="E44" s="173"/>
      <c r="F44" s="174"/>
      <c r="G44" s="173"/>
      <c r="H44" s="173"/>
      <c r="I44" s="173"/>
      <c r="J44" s="173"/>
      <c r="K44" s="174">
        <v>2.0</v>
      </c>
      <c r="L44" s="173"/>
      <c r="M44" s="174"/>
      <c r="N44" s="173"/>
      <c r="O44" s="174">
        <v>3.0</v>
      </c>
    </row>
    <row r="45">
      <c r="A45" s="173" t="s">
        <v>387</v>
      </c>
      <c r="B45" s="173">
        <v>1.0</v>
      </c>
      <c r="C45" s="173"/>
      <c r="D45" s="174"/>
      <c r="E45" s="174"/>
      <c r="F45" s="174"/>
      <c r="G45" s="173"/>
      <c r="H45" s="173"/>
      <c r="I45" s="173"/>
      <c r="J45" s="173"/>
      <c r="K45" s="174">
        <v>2.0</v>
      </c>
      <c r="L45" s="173"/>
      <c r="M45" s="174"/>
      <c r="N45" s="175"/>
      <c r="O45" s="174">
        <v>3.0</v>
      </c>
    </row>
    <row r="46">
      <c r="A46" s="173" t="s">
        <v>302</v>
      </c>
      <c r="B46" s="173"/>
      <c r="C46" s="173"/>
      <c r="D46" s="174"/>
      <c r="E46" s="174">
        <v>0.0</v>
      </c>
      <c r="F46" s="174"/>
      <c r="G46" s="173"/>
      <c r="H46" s="173">
        <v>0.0</v>
      </c>
      <c r="I46" s="173"/>
      <c r="J46" s="173"/>
      <c r="K46" s="174"/>
      <c r="L46" s="173"/>
      <c r="M46" s="174">
        <v>-2.0</v>
      </c>
      <c r="N46" s="175" t="s">
        <v>413</v>
      </c>
      <c r="O46" s="174">
        <v>-2.0</v>
      </c>
    </row>
  </sheetData>
  <mergeCells count="33">
    <mergeCell ref="N13:N14"/>
    <mergeCell ref="O13:O14"/>
    <mergeCell ref="A13:A14"/>
    <mergeCell ref="A22:A23"/>
    <mergeCell ref="A31:A32"/>
    <mergeCell ref="A40:A41"/>
    <mergeCell ref="B1:D1"/>
    <mergeCell ref="B12:O12"/>
    <mergeCell ref="B13:D13"/>
    <mergeCell ref="E13:G13"/>
    <mergeCell ref="H13:J13"/>
    <mergeCell ref="K13:M13"/>
    <mergeCell ref="B21:O21"/>
    <mergeCell ref="B22:D22"/>
    <mergeCell ref="E22:G22"/>
    <mergeCell ref="H22:J22"/>
    <mergeCell ref="K22:M22"/>
    <mergeCell ref="N22:N23"/>
    <mergeCell ref="O22:O23"/>
    <mergeCell ref="B30:O30"/>
    <mergeCell ref="B40:D40"/>
    <mergeCell ref="E40:G40"/>
    <mergeCell ref="H40:J40"/>
    <mergeCell ref="K40:M40"/>
    <mergeCell ref="N40:N41"/>
    <mergeCell ref="O40:O41"/>
    <mergeCell ref="B31:D31"/>
    <mergeCell ref="E31:G31"/>
    <mergeCell ref="H31:J31"/>
    <mergeCell ref="K31:M31"/>
    <mergeCell ref="N31:N32"/>
    <mergeCell ref="O31:O32"/>
    <mergeCell ref="B39:O39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