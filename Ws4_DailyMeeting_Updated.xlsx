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s4_Sprint Backlog" sheetId="1" r:id="rId1"/>
    <sheet name="Ws4_Story Point Sprint" sheetId="2" r:id="rId2"/>
    <sheet name="Ws4_Product Vision" sheetId="3" r:id="rId3"/>
    <sheet name="Ws4_DailyMeeting" sheetId="4" r:id="rId4"/>
    <sheet name="Ws4_Repor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[$£-809]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7"/>
  <sheetViews>
    <sheetView workbookViewId="0" rightToLeft="0"/>
  </sheetViews>
  <sheetData>
    <row r="1">
      <c r="A1" t="str">
        <v xml:space="preserve"> </v>
      </c>
    </row>
    <row r="3">
      <c r="A3" t="str">
        <v>Mục tiêu sản phẩm 1: Ra mắt hệ thống quản lý tuyển dụng &amp; ứng viên cho doanh nghiệp</v>
      </c>
    </row>
    <row r="4" xml:space="preserve">
      <c r="A4" t="str">
        <v>Task ID</v>
      </c>
      <c r="B4" t="str">
        <v>Task</v>
      </c>
      <c r="C4" t="str">
        <v>Description</v>
      </c>
      <c r="D4" t="str">
        <v>Story ID</v>
      </c>
      <c r="E4" t="str">
        <v>Backlog ID</v>
      </c>
      <c r="F4" t="str">
        <v>Sprint#</v>
      </c>
      <c r="G4" t="str">
        <v>State</v>
      </c>
      <c r="H4" t="str" xml:space="preserve">
        <v xml:space="preserve">Estimate Time
(Hours)</v>
      </c>
      <c r="I4" t="str">
        <v>Assign to</v>
      </c>
      <c r="J4" t="str">
        <v>Note</v>
      </c>
    </row>
    <row r="5">
      <c r="A5" t="str">
        <v>Mục tiêu Sprint 1: Hoàn thành các chức năng cơ bản</v>
      </c>
    </row>
    <row r="6">
      <c r="A6" t="str">
        <v>T01</v>
      </c>
      <c r="B6" t="str">
        <v>Đăng nhập</v>
      </c>
      <c r="C6" t="str">
        <v>Xây dựng chức năng đăng nhập cho nhà tuyển dụng</v>
      </c>
      <c r="D6" t="str">
        <v>RQ01</v>
      </c>
      <c r="E6">
        <v>1</v>
      </c>
      <c r="F6">
        <v>1</v>
      </c>
      <c r="G6" t="str">
        <v>New</v>
      </c>
      <c r="H6">
        <v>8</v>
      </c>
      <c r="I6" t="str">
        <v>Quang Đồng</v>
      </c>
    </row>
    <row r="7">
      <c r="A7" t="str">
        <v>T02</v>
      </c>
      <c r="B7" t="str">
        <v>Tạo tin tuyển dụng</v>
      </c>
      <c r="C7" t="str">
        <v>Cho phép nhà tuyển dụng tạo tin tuyển dụng</v>
      </c>
      <c r="D7" t="str">
        <v>RQ04</v>
      </c>
      <c r="E7">
        <v>1</v>
      </c>
      <c r="F7">
        <v>1</v>
      </c>
      <c r="G7" t="str">
        <v>New</v>
      </c>
      <c r="H7">
        <v>10</v>
      </c>
      <c r="I7" t="str">
        <v>Anh Tú</v>
      </c>
    </row>
    <row r="8">
      <c r="A8" t="str">
        <v>T03</v>
      </c>
      <c r="B8" t="str">
        <v>Kích hoạt tin tuyển</v>
      </c>
      <c r="C8" t="str">
        <v>Đặt trạng thái: hiện để hiển thị lên hệ thống</v>
      </c>
      <c r="D8" t="str">
        <v>RQ24</v>
      </c>
      <c r="E8">
        <v>1</v>
      </c>
      <c r="F8">
        <v>1</v>
      </c>
      <c r="G8" t="str">
        <v>New</v>
      </c>
      <c r="H8">
        <v>6</v>
      </c>
      <c r="I8" t="str">
        <v>Chí Hào</v>
      </c>
    </row>
    <row r="9">
      <c r="A9" t="str">
        <v>T04</v>
      </c>
      <c r="B9" t="str">
        <v>Xem danh sách tin tuyển dụng</v>
      </c>
      <c r="C9" t="str">
        <v>Ứng viên có thể xem danh sách tin tuyển dụng</v>
      </c>
      <c r="D9" t="str">
        <v>RQ03</v>
      </c>
      <c r="E9">
        <v>1</v>
      </c>
      <c r="F9">
        <v>1</v>
      </c>
      <c r="G9" t="str">
        <v>New</v>
      </c>
      <c r="H9">
        <v>6</v>
      </c>
      <c r="I9" t="str">
        <v>Anh Tú</v>
      </c>
    </row>
    <row r="10">
      <c r="A10" t="str">
        <v>T05</v>
      </c>
      <c r="B10" t="str">
        <v>Xem chi tiết tin tuyển dụng</v>
      </c>
      <c r="C10" t="str">
        <v>Hiển thị chi tiết nội dung tin tuyển dụng</v>
      </c>
      <c r="D10" t="str">
        <v>RQ08</v>
      </c>
      <c r="E10">
        <v>1</v>
      </c>
      <c r="F10">
        <v>1</v>
      </c>
      <c r="G10" t="str">
        <v>New</v>
      </c>
      <c r="H10">
        <v>6</v>
      </c>
      <c r="I10" t="str">
        <v>Trọng An</v>
      </c>
    </row>
    <row r="11">
      <c r="A11" t="str">
        <v>T06</v>
      </c>
      <c r="B11" t="str">
        <v xml:space="preserve">Ứng tuyển </v>
      </c>
      <c r="C11" t="str">
        <v>Ứng viên nộp đơn ứng tuyển công việc (không cần đăng nhập; form + tải lên CV)</v>
      </c>
      <c r="D11" t="str">
        <v>RQ09</v>
      </c>
      <c r="E11">
        <v>1</v>
      </c>
      <c r="F11">
        <v>1</v>
      </c>
      <c r="G11" t="str">
        <v>New</v>
      </c>
      <c r="H11">
        <v>10</v>
      </c>
      <c r="I11" t="str">
        <v>Trọng An</v>
      </c>
    </row>
    <row r="12">
      <c r="A12" t="str">
        <v xml:space="preserve"> Mục tiêu Sprint 2: Các tính năng quản lý ứng viên</v>
      </c>
    </row>
    <row r="13">
      <c r="A13" t="str">
        <v>T07</v>
      </c>
      <c r="B13" t="str">
        <v>Đăng ký tài khoản</v>
      </c>
      <c r="C13" t="str">
        <v>Ứng viên đăng ký tài khoản hệ thống</v>
      </c>
      <c r="D13" t="str">
        <v>RQ32</v>
      </c>
      <c r="E13">
        <v>2</v>
      </c>
      <c r="F13">
        <v>2</v>
      </c>
      <c r="G13" t="str">
        <v>New</v>
      </c>
      <c r="H13">
        <v>8</v>
      </c>
      <c r="I13" t="str">
        <v>Kim Anh</v>
      </c>
    </row>
    <row r="14">
      <c r="A14" t="str">
        <v>T08</v>
      </c>
      <c r="B14" t="str">
        <v>Cập nhật hồ sơ</v>
      </c>
      <c r="C14" t="str">
        <v>Cập nhật thông tin hồ sơ ứng viên (thông tin cá nhân)</v>
      </c>
      <c r="D14" t="str">
        <v>RQ33</v>
      </c>
      <c r="E14">
        <v>2</v>
      </c>
      <c r="F14">
        <v>2</v>
      </c>
      <c r="G14" t="str">
        <v>New</v>
      </c>
      <c r="H14">
        <v>8</v>
      </c>
      <c r="I14" t="str">
        <v>Chí Hào</v>
      </c>
    </row>
    <row r="15">
      <c r="A15" t="str">
        <v>T09</v>
      </c>
      <c r="B15" t="str">
        <v>Xem hồ sơ</v>
      </c>
      <c r="C15" t="str">
        <v>Hiển thị thông tin hồ sơ ứng viên</v>
      </c>
      <c r="D15" t="str">
        <v>RQ11</v>
      </c>
      <c r="E15">
        <v>2</v>
      </c>
      <c r="F15">
        <v>2</v>
      </c>
      <c r="G15" t="str">
        <v>New</v>
      </c>
      <c r="H15">
        <v>6</v>
      </c>
      <c r="I15" t="str">
        <v>Anh Tú</v>
      </c>
    </row>
    <row r="16">
      <c r="A16" t="str">
        <v>T10</v>
      </c>
      <c r="B16" t="str">
        <v>Tải lên CV</v>
      </c>
      <c r="C16" t="str">
        <v>Upload và lưu trữ file CV</v>
      </c>
      <c r="D16" t="str">
        <v>RQ37</v>
      </c>
      <c r="E16">
        <v>2</v>
      </c>
      <c r="F16">
        <v>2</v>
      </c>
      <c r="G16" t="str">
        <v>New</v>
      </c>
      <c r="H16">
        <v>6</v>
      </c>
      <c r="I16" t="str">
        <v>Chí Hào</v>
      </c>
    </row>
    <row r="17">
      <c r="A17" t="str">
        <v>T11</v>
      </c>
      <c r="B17" t="str">
        <v>Xem danh sách ứng tuyển</v>
      </c>
      <c r="C17" t="str">
        <v>Xem các công việc đã ứng tuyển</v>
      </c>
      <c r="D17" t="str">
        <v>RQ15</v>
      </c>
      <c r="E17">
        <v>2</v>
      </c>
      <c r="F17">
        <v>2</v>
      </c>
      <c r="G17" t="str">
        <v>New</v>
      </c>
      <c r="H17">
        <v>8</v>
      </c>
      <c r="I17" t="str">
        <v>Trọng An</v>
      </c>
    </row>
    <row r="18">
      <c r="A18" t="str">
        <v>T12</v>
      </c>
      <c r="B18" t="str">
        <v>Hủy ứng tuyển</v>
      </c>
      <c r="C18" t="str">
        <v>Hủy đơn ứng tuyển đã gửi</v>
      </c>
      <c r="D18" t="str">
        <v>RQ34</v>
      </c>
      <c r="E18">
        <v>2</v>
      </c>
      <c r="F18">
        <v>2</v>
      </c>
      <c r="G18" t="str">
        <v>New</v>
      </c>
      <c r="H18">
        <v>8</v>
      </c>
      <c r="I18" t="str">
        <v>Trọng An</v>
      </c>
    </row>
    <row r="19">
      <c r="A19" t="str">
        <v>T13</v>
      </c>
      <c r="B19" t="str">
        <v>Tìm kiếm việc làm</v>
      </c>
      <c r="C19" t="str">
        <v>Tìm job theo từ khóa</v>
      </c>
      <c r="D19" t="str">
        <v>RQ07</v>
      </c>
      <c r="E19">
        <v>2</v>
      </c>
      <c r="F19">
        <v>2</v>
      </c>
      <c r="G19" t="str">
        <v>New</v>
      </c>
      <c r="H19">
        <v>6</v>
      </c>
      <c r="I19" t="str">
        <v>Quang Đồng</v>
      </c>
    </row>
    <row r="20">
      <c r="A20" t="str">
        <v>T14</v>
      </c>
      <c r="B20" t="str">
        <v>Lọc việc làm</v>
      </c>
      <c r="C20" t="str">
        <v>Lọc job theo tiêu chí (địa điểm, lương,...)</v>
      </c>
      <c r="D20" t="str">
        <v>RQ07</v>
      </c>
      <c r="E20">
        <v>2</v>
      </c>
      <c r="F20">
        <v>2</v>
      </c>
      <c r="G20" t="str">
        <v>New</v>
      </c>
      <c r="H20">
        <v>6</v>
      </c>
      <c r="I20" t="str">
        <v>Anh Tú</v>
      </c>
    </row>
    <row r="21">
      <c r="A21" t="str">
        <v>T15</v>
      </c>
      <c r="B21" t="str">
        <v>Đổi mật khẩu</v>
      </c>
      <c r="C21" t="str">
        <v>Thay đổi mật khẩu tài khoản</v>
      </c>
      <c r="D21" t="str">
        <v>RQ27</v>
      </c>
      <c r="E21">
        <v>2</v>
      </c>
      <c r="F21">
        <v>2</v>
      </c>
      <c r="G21" t="str">
        <v>New</v>
      </c>
      <c r="H21">
        <v>6</v>
      </c>
      <c r="I21" t="str">
        <v>Kim Anh</v>
      </c>
    </row>
    <row r="22">
      <c r="A22" t="str">
        <v>Mục tiêu Sprint 3: Quản lý quy trình tuyển dụng</v>
      </c>
    </row>
    <row r="23">
      <c r="A23" t="str">
        <v>T16</v>
      </c>
      <c r="B23" t="str">
        <v xml:space="preserve">Xem danh sách ứng viên </v>
      </c>
      <c r="C23" t="str">
        <v>Xem ứng viên theo từng tin tuyển dụng</v>
      </c>
      <c r="D23" t="str">
        <v>RQ10</v>
      </c>
      <c r="E23">
        <v>3</v>
      </c>
      <c r="F23">
        <v>3</v>
      </c>
      <c r="G23" t="str">
        <v>New</v>
      </c>
      <c r="H23">
        <v>9</v>
      </c>
      <c r="I23" t="str">
        <v>Trọng An</v>
      </c>
    </row>
    <row r="24">
      <c r="A24" t="str">
        <v>T17</v>
      </c>
      <c r="B24" t="str">
        <v>Cập nhật trạng thái ứng viên</v>
      </c>
      <c r="C24" t="str">
        <v>Cập nhật trạng thái(applied,interview,offer)</v>
      </c>
      <c r="D24" t="str">
        <v>RQ12</v>
      </c>
      <c r="E24">
        <v>3</v>
      </c>
      <c r="F24">
        <v>3</v>
      </c>
      <c r="G24" t="str">
        <v>New</v>
      </c>
      <c r="H24">
        <v>8</v>
      </c>
      <c r="I24" t="str">
        <v>Kim Anh</v>
      </c>
    </row>
    <row r="25">
      <c r="A25" t="str">
        <v>T18</v>
      </c>
      <c r="B25" t="str">
        <v>Lên lịch phỏng vấn</v>
      </c>
      <c r="C25" t="str">
        <v>Tạo lịch phỏng vấn cho ứng viên</v>
      </c>
      <c r="D25" t="str">
        <v>RQ13</v>
      </c>
      <c r="E25">
        <v>3</v>
      </c>
      <c r="F25">
        <v>3</v>
      </c>
      <c r="G25" t="str">
        <v>New</v>
      </c>
      <c r="H25">
        <v>10</v>
      </c>
      <c r="I25" t="str">
        <v>Anh Tú</v>
      </c>
    </row>
    <row r="26">
      <c r="A26" t="str">
        <v>T19</v>
      </c>
      <c r="B26" t="str">
        <v xml:space="preserve">Gửi thông báo </v>
      </c>
      <c r="C26" t="str">
        <v>Gửi Email/thông báo cho ứng viên</v>
      </c>
      <c r="D26" t="str">
        <v>RQ17</v>
      </c>
      <c r="E26">
        <v>3</v>
      </c>
      <c r="F26">
        <v>3</v>
      </c>
      <c r="G26" t="str">
        <v>New</v>
      </c>
      <c r="H26">
        <v>8</v>
      </c>
      <c r="I26" t="str">
        <v>Chí Hào</v>
      </c>
    </row>
    <row r="27">
      <c r="A27" t="str">
        <v>T20</v>
      </c>
      <c r="B27" t="str">
        <v>Bảng thống kê tuyển dụng</v>
      </c>
      <c r="C27" t="str">
        <v>Thống kê số lượng tin tuyển dụng và ứng viên ứng tuyển</v>
      </c>
      <c r="D27" t="str">
        <v>RQ16</v>
      </c>
      <c r="E27">
        <v>3</v>
      </c>
      <c r="F27">
        <v>3</v>
      </c>
      <c r="G27" t="str">
        <v>New</v>
      </c>
      <c r="H27">
        <v>8</v>
      </c>
      <c r="I27" t="str">
        <v>Kim Anh</v>
      </c>
    </row>
    <row r="28">
      <c r="A28" t="str">
        <v>T21</v>
      </c>
      <c r="B28" t="str">
        <v>Ghi chú ứng viên</v>
      </c>
      <c r="C28" t="str">
        <v>Lưu ghi chú khi đánh giá ứng viên</v>
      </c>
      <c r="D28" t="str">
        <v>RQ14</v>
      </c>
      <c r="E28">
        <v>3</v>
      </c>
      <c r="F28">
        <v>3</v>
      </c>
      <c r="G28" t="str">
        <v>New</v>
      </c>
      <c r="H28">
        <v>6</v>
      </c>
      <c r="I28" t="str">
        <v>Quang Đồng</v>
      </c>
    </row>
    <row r="29">
      <c r="A29" t="str">
        <v>T22</v>
      </c>
      <c r="B29" t="str">
        <v>Lọc ứng viên</v>
      </c>
      <c r="C29" t="str">
        <v>Lọc danh sách ứng viên theo trạng thái</v>
      </c>
      <c r="D29" t="str">
        <v>RQ35</v>
      </c>
      <c r="E29">
        <v>3</v>
      </c>
      <c r="F29">
        <v>3</v>
      </c>
      <c r="G29" t="str">
        <v>New</v>
      </c>
      <c r="H29">
        <v>6</v>
      </c>
      <c r="I29" t="str">
        <v>Trọng An</v>
      </c>
    </row>
    <row r="30">
      <c r="A30" t="str">
        <v>T23</v>
      </c>
      <c r="B30" t="str">
        <v>Xem danh sách tin tuyển dụng</v>
      </c>
      <c r="C30" t="str">
        <v>Quản trị viên xem danh sách tất cả tin tuyển dụng</v>
      </c>
      <c r="D30" t="str">
        <v>RQ23</v>
      </c>
      <c r="E30">
        <v>3</v>
      </c>
      <c r="F30">
        <v>3</v>
      </c>
      <c r="G30" t="str">
        <v>New</v>
      </c>
      <c r="H30">
        <v>6</v>
      </c>
      <c r="I30" t="str">
        <v>Anh Tú</v>
      </c>
    </row>
    <row r="31">
      <c r="A31" t="str">
        <v>T24</v>
      </c>
      <c r="B31" t="str">
        <v>Cập nhật tin tuyển dụng</v>
      </c>
      <c r="C31" t="str">
        <v>Chỉnh sửa nội dung bài đăng tuyển dụng</v>
      </c>
      <c r="D31" t="str">
        <v>RQ05</v>
      </c>
      <c r="E31">
        <v>3</v>
      </c>
      <c r="F31">
        <v>3</v>
      </c>
      <c r="G31" t="str">
        <v>New</v>
      </c>
      <c r="H31">
        <v>8</v>
      </c>
      <c r="I31" t="str">
        <v>Anh Tú</v>
      </c>
    </row>
    <row r="32">
      <c r="A32" t="str">
        <v>T25</v>
      </c>
      <c r="B32" t="str">
        <v>Xóa tin tuyển dụng</v>
      </c>
      <c r="C32" t="str">
        <v>Xóa bài đăng hoặc ẩn tin tuyển dụng</v>
      </c>
      <c r="D32" t="str">
        <v>RQ36</v>
      </c>
      <c r="E32">
        <v>3</v>
      </c>
      <c r="F32">
        <v>3</v>
      </c>
      <c r="G32" t="str">
        <v>New</v>
      </c>
      <c r="H32">
        <v>6</v>
      </c>
      <c r="I32" t="str">
        <v>Chí Hào</v>
      </c>
    </row>
    <row r="33">
      <c r="A33" t="str">
        <v>T26</v>
      </c>
      <c r="B33" t="str">
        <v>Trạng thái tin tuyển</v>
      </c>
      <c r="C33" t="str">
        <v>Cập nhật trạng thái hiển thị tin (ẩn/hiện)</v>
      </c>
      <c r="D33" t="str">
        <v>RQ06</v>
      </c>
      <c r="E33">
        <v>3</v>
      </c>
      <c r="F33">
        <v>3</v>
      </c>
      <c r="G33" t="str">
        <v>New</v>
      </c>
      <c r="H33">
        <v>6</v>
      </c>
      <c r="I33" t="str">
        <v>Chí Hào</v>
      </c>
    </row>
    <row r="34">
      <c r="A34" t="str">
        <v>Mục tiêu Sprint 4: Hoàn thiện hệ thống</v>
      </c>
    </row>
    <row r="35">
      <c r="A35" t="str">
        <v>T27</v>
      </c>
      <c r="B35" t="str">
        <v xml:space="preserve">Tạo người dùng </v>
      </c>
      <c r="C35" t="str">
        <v>Quản trị viên tạo tài khoản người dùng</v>
      </c>
      <c r="D35" t="str">
        <v>RQ18</v>
      </c>
      <c r="E35">
        <v>4</v>
      </c>
      <c r="F35">
        <v>4</v>
      </c>
      <c r="G35" t="str">
        <v>New</v>
      </c>
      <c r="H35">
        <v>8</v>
      </c>
      <c r="I35" t="str">
        <v>Kim Anh</v>
      </c>
    </row>
    <row r="36">
      <c r="A36" t="str">
        <v>T28</v>
      </c>
      <c r="B36" t="str">
        <v>Cập nhật người dùng</v>
      </c>
      <c r="C36" t="str">
        <v>Chỉnh sửa thông tin tài khoản người dùng</v>
      </c>
      <c r="D36" t="str">
        <v>RQ19</v>
      </c>
      <c r="E36">
        <v>4</v>
      </c>
      <c r="F36">
        <v>4</v>
      </c>
      <c r="G36" t="str">
        <v>New</v>
      </c>
      <c r="H36">
        <v>8</v>
      </c>
      <c r="I36" t="str">
        <v>Anh Tú</v>
      </c>
    </row>
    <row r="37">
      <c r="A37" t="str">
        <v>T29</v>
      </c>
      <c r="B37" t="str">
        <v>Xóa người dùng</v>
      </c>
      <c r="C37" t="str">
        <v>Xóa thông ti tài khoản người dùng</v>
      </c>
      <c r="D37" t="str">
        <v>RQ20</v>
      </c>
      <c r="E37">
        <v>4</v>
      </c>
      <c r="F37">
        <v>4</v>
      </c>
      <c r="G37" t="str">
        <v>New</v>
      </c>
      <c r="H37">
        <v>6</v>
      </c>
      <c r="I37" t="str">
        <v>Chí Hào</v>
      </c>
    </row>
    <row r="38">
      <c r="A38" t="str">
        <v>T30</v>
      </c>
      <c r="B38" t="str">
        <v>Xem danh sách người dùng</v>
      </c>
      <c r="C38" t="str">
        <v xml:space="preserve">Hiển thị danh sách người dùng </v>
      </c>
      <c r="D38" t="str">
        <v>RQ28</v>
      </c>
      <c r="E38">
        <v>4</v>
      </c>
      <c r="F38">
        <v>4</v>
      </c>
      <c r="G38" t="str">
        <v>New</v>
      </c>
      <c r="H38">
        <v>6</v>
      </c>
      <c r="I38" t="str">
        <v>Trọng An</v>
      </c>
    </row>
    <row r="39">
      <c r="A39" t="str">
        <v>T31</v>
      </c>
      <c r="B39" t="str">
        <v>Thay đổi trạng thái người dùng</v>
      </c>
      <c r="C39" t="str">
        <v>Khóa/mở tài khoản</v>
      </c>
      <c r="D39" t="str">
        <v>RQ30</v>
      </c>
      <c r="E39">
        <v>4</v>
      </c>
      <c r="F39">
        <v>4</v>
      </c>
      <c r="G39" t="str">
        <v>New</v>
      </c>
      <c r="H39">
        <v>6</v>
      </c>
      <c r="I39" t="str">
        <v>Quang Đồng</v>
      </c>
    </row>
    <row r="40">
      <c r="A40" t="str">
        <v>T32</v>
      </c>
      <c r="B40" t="str">
        <v>Phân quyền người dùng</v>
      </c>
      <c r="C40" t="str">
        <v>Phân quyền theo role (HR, Director, PM)</v>
      </c>
      <c r="D40" t="str">
        <v>RQ21</v>
      </c>
      <c r="E40">
        <v>4</v>
      </c>
      <c r="F40">
        <v>4</v>
      </c>
      <c r="G40" t="str">
        <v>New</v>
      </c>
      <c r="H40">
        <v>10</v>
      </c>
      <c r="I40" t="str">
        <v>Quang Đồng</v>
      </c>
    </row>
    <row r="41">
      <c r="A41" t="str">
        <v>T33</v>
      </c>
      <c r="B41" t="str">
        <v xml:space="preserve">Bảng điều khiển </v>
      </c>
      <c r="C41" t="str">
        <v>Thống kê tổng quan hệ thống</v>
      </c>
      <c r="D41" t="str">
        <v>RQ22</v>
      </c>
      <c r="E41">
        <v>4</v>
      </c>
      <c r="F41">
        <v>4</v>
      </c>
      <c r="G41" t="str">
        <v>New</v>
      </c>
      <c r="H41">
        <v>8</v>
      </c>
      <c r="I41" t="str">
        <v>Kim Anh</v>
      </c>
    </row>
    <row r="42">
      <c r="A42" t="str">
        <v>T34</v>
      </c>
      <c r="B42" t="str">
        <v>Log hoạt động</v>
      </c>
      <c r="C42" t="str">
        <v>Lưu lại lịch sử thao tác người dùng</v>
      </c>
      <c r="D42" t="str">
        <v>RQ31</v>
      </c>
      <c r="E42">
        <v>4</v>
      </c>
      <c r="F42">
        <v>4</v>
      </c>
      <c r="G42" t="str">
        <v>New</v>
      </c>
      <c r="H42">
        <v>8</v>
      </c>
      <c r="I42" t="str">
        <v>Chí Hào</v>
      </c>
    </row>
    <row r="48">
      <c r="A48" t="str">
        <v>Mục tiêu sản phẩm 2: Phát triển, nâng cao hệ thống, tự động hóa quy trình tuyển dụng và thuận tiện cho người dùng</v>
      </c>
    </row>
    <row r="49" xml:space="preserve">
      <c r="A49" t="str">
        <v>Task ID</v>
      </c>
      <c r="B49" t="str">
        <v>Task</v>
      </c>
      <c r="C49" t="str">
        <v>Description</v>
      </c>
      <c r="D49" t="str">
        <v>Story ID</v>
      </c>
      <c r="E49" t="str">
        <v>Backlog ID</v>
      </c>
      <c r="F49" t="str">
        <v>Sprint#</v>
      </c>
      <c r="G49" t="str">
        <v>State</v>
      </c>
      <c r="H49" t="str" xml:space="preserve">
        <v xml:space="preserve">Estimate Time
(Hours)</v>
      </c>
      <c r="I49" t="str">
        <v>Assign to</v>
      </c>
      <c r="J49" t="str">
        <v>Note</v>
      </c>
    </row>
    <row r="50">
      <c r="A50" t="str">
        <v>Mục tiêu Sprint 1: Các tính năng nâng cao trải nghiệm người dùng</v>
      </c>
    </row>
    <row r="51">
      <c r="A51" t="str">
        <v>T01</v>
      </c>
      <c r="B51" t="str">
        <v>Đăng nhập</v>
      </c>
      <c r="C51" t="str">
        <v>Xây dựng chức năng đăng nhập cho nhà tuyển dụng</v>
      </c>
      <c r="D51">
        <v>1</v>
      </c>
      <c r="E51">
        <v>1</v>
      </c>
      <c r="F51">
        <v>1</v>
      </c>
      <c r="G51" t="str">
        <v>New</v>
      </c>
      <c r="H51">
        <v>8</v>
      </c>
      <c r="I51" t="str">
        <v>Quang Đồng</v>
      </c>
    </row>
    <row r="52">
      <c r="A52" t="str">
        <v>T02</v>
      </c>
      <c r="B52" t="str">
        <v>Tạo tin tuyển dụng</v>
      </c>
      <c r="C52" t="str">
        <v>Cho phép nhà tuyển dụng tạo tin tuyển dụng</v>
      </c>
      <c r="D52">
        <v>1</v>
      </c>
      <c r="E52">
        <v>1</v>
      </c>
      <c r="F52">
        <v>1</v>
      </c>
      <c r="G52" t="str">
        <v>New</v>
      </c>
      <c r="H52">
        <v>10</v>
      </c>
      <c r="I52" t="str">
        <v>Anh Tú</v>
      </c>
    </row>
    <row r="53">
      <c r="A53" t="str">
        <v>T03</v>
      </c>
      <c r="B53" t="str">
        <v>Kích hoạt tin tuyển</v>
      </c>
      <c r="C53" t="str">
        <v>Đặt trạng thái: hiện để hiển thị lên hệ thống</v>
      </c>
      <c r="D53">
        <v>1</v>
      </c>
      <c r="E53">
        <v>1</v>
      </c>
      <c r="F53">
        <v>1</v>
      </c>
      <c r="G53" t="str">
        <v>New</v>
      </c>
      <c r="H53">
        <v>6</v>
      </c>
      <c r="I53" t="str">
        <v>Chí Hào</v>
      </c>
    </row>
    <row r="54">
      <c r="A54" t="str">
        <v>T04</v>
      </c>
      <c r="B54" t="str">
        <v>Xem danh sách tin tuyển dụng</v>
      </c>
      <c r="C54" t="str">
        <v>Ứng viên có thể xem danh sách tin tuyển dụng</v>
      </c>
      <c r="D54">
        <v>1</v>
      </c>
      <c r="E54">
        <v>1</v>
      </c>
      <c r="F54">
        <v>1</v>
      </c>
      <c r="G54" t="str">
        <v>New</v>
      </c>
      <c r="H54">
        <v>6</v>
      </c>
      <c r="I54" t="str">
        <v>Anh Tú</v>
      </c>
    </row>
    <row r="55">
      <c r="A55" t="str">
        <v>T05</v>
      </c>
      <c r="B55" t="str">
        <v>Xem chi tiết tin tuyển dụng</v>
      </c>
      <c r="C55" t="str">
        <v>Hiển thị chi tiết nội dung tin tuyển dụng</v>
      </c>
      <c r="D55">
        <v>1</v>
      </c>
      <c r="E55">
        <v>1</v>
      </c>
      <c r="F55">
        <v>1</v>
      </c>
      <c r="G55" t="str">
        <v>New</v>
      </c>
      <c r="H55">
        <v>6</v>
      </c>
      <c r="I55" t="str">
        <v>Trọng An</v>
      </c>
    </row>
    <row r="56">
      <c r="A56" t="str">
        <v>T06</v>
      </c>
      <c r="B56" t="str">
        <v xml:space="preserve">Ứng tuyển </v>
      </c>
      <c r="C56" t="str">
        <v>Ứng viên nộp đơn ứng tuyển công việc (không cần đăng nhập; form + tải lên CV)</v>
      </c>
      <c r="D56">
        <v>1</v>
      </c>
      <c r="E56">
        <v>1</v>
      </c>
      <c r="F56">
        <v>1</v>
      </c>
      <c r="G56" t="str">
        <v>New</v>
      </c>
      <c r="H56">
        <v>10</v>
      </c>
      <c r="I56" t="str">
        <v>Trọng An</v>
      </c>
    </row>
    <row r="57">
      <c r="A57" t="str">
        <v xml:space="preserve"> Mục tiêu Sprint 1: Tự động hóa quy trình tuyển dụng</v>
      </c>
    </row>
    <row r="58">
      <c r="A58" t="str">
        <v>T07</v>
      </c>
      <c r="B58" t="str">
        <v>Đăng ký tài khoản</v>
      </c>
      <c r="C58" t="str">
        <v>Ứng viên đăng ký tài khoản hệ thống</v>
      </c>
      <c r="D58">
        <v>2</v>
      </c>
      <c r="E58">
        <v>2</v>
      </c>
      <c r="F58">
        <v>2</v>
      </c>
      <c r="G58" t="str">
        <v>New</v>
      </c>
      <c r="H58">
        <v>8</v>
      </c>
      <c r="I58" t="str">
        <v>Kim Anh</v>
      </c>
    </row>
    <row r="59">
      <c r="A59" t="str">
        <v>T08</v>
      </c>
      <c r="B59" t="str">
        <v>Hồ sơ ứng viên</v>
      </c>
      <c r="C59" t="str">
        <v>Cập nhật thông tin cá nhân ứng viên</v>
      </c>
      <c r="D59">
        <v>2</v>
      </c>
      <c r="E59">
        <v>2</v>
      </c>
      <c r="F59">
        <v>2</v>
      </c>
      <c r="G59" t="str">
        <v>New</v>
      </c>
      <c r="H59">
        <v>8</v>
      </c>
      <c r="I59" t="str">
        <v>Chí Hào</v>
      </c>
    </row>
    <row r="60">
      <c r="A60" t="str">
        <v>T09</v>
      </c>
      <c r="B60" t="str">
        <v>Xem hồ sơ</v>
      </c>
      <c r="C60" t="str">
        <v>Hiển thị thông tin hồ sơ ứng viên</v>
      </c>
      <c r="D60">
        <v>2</v>
      </c>
      <c r="E60">
        <v>2</v>
      </c>
      <c r="F60">
        <v>2</v>
      </c>
      <c r="G60" t="str">
        <v>New</v>
      </c>
      <c r="H60">
        <v>6</v>
      </c>
      <c r="I60" t="str">
        <v>Anh Tú</v>
      </c>
    </row>
    <row r="61">
      <c r="A61" t="str">
        <v>T10</v>
      </c>
      <c r="B61" t="str">
        <v>Tải lên CV</v>
      </c>
      <c r="C61" t="str">
        <v>Upload và lưu trữ file CV</v>
      </c>
      <c r="D61">
        <v>2</v>
      </c>
      <c r="E61">
        <v>2</v>
      </c>
      <c r="F61">
        <v>2</v>
      </c>
      <c r="G61" t="str">
        <v>New</v>
      </c>
      <c r="H61">
        <v>6</v>
      </c>
      <c r="I61" t="str">
        <v>Chí Hào</v>
      </c>
    </row>
    <row r="62">
      <c r="A62" t="str">
        <v>T11</v>
      </c>
      <c r="B62" t="str">
        <v>Xem danh sách ứng tuyển</v>
      </c>
      <c r="C62" t="str">
        <v>Xem các công việc đã ứng tuyển</v>
      </c>
      <c r="D62">
        <v>2</v>
      </c>
      <c r="E62">
        <v>2</v>
      </c>
      <c r="F62">
        <v>2</v>
      </c>
      <c r="G62" t="str">
        <v>New</v>
      </c>
      <c r="H62">
        <v>8</v>
      </c>
      <c r="I62" t="str">
        <v>Trọng An</v>
      </c>
    </row>
    <row r="63">
      <c r="A63" t="str">
        <v>T12</v>
      </c>
      <c r="B63" t="str">
        <v>Hủy ứng tuyển</v>
      </c>
      <c r="C63" t="str">
        <v>Hủy đơn ứng tuyển đã gửi</v>
      </c>
      <c r="D63">
        <v>2</v>
      </c>
      <c r="E63">
        <v>2</v>
      </c>
      <c r="F63">
        <v>2</v>
      </c>
      <c r="G63" t="str">
        <v>New</v>
      </c>
      <c r="H63">
        <v>8</v>
      </c>
      <c r="I63" t="str">
        <v>Trọng An</v>
      </c>
    </row>
    <row r="64">
      <c r="A64" t="str">
        <v>T13</v>
      </c>
      <c r="B64" t="str">
        <v>Tìm kiếm việc làm</v>
      </c>
      <c r="C64" t="str">
        <v>Tìm job theo từ khóa</v>
      </c>
      <c r="D64">
        <v>2</v>
      </c>
      <c r="E64">
        <v>2</v>
      </c>
      <c r="F64">
        <v>2</v>
      </c>
      <c r="G64" t="str">
        <v>New</v>
      </c>
      <c r="H64">
        <v>6</v>
      </c>
      <c r="I64" t="str">
        <v>Quang Đồng</v>
      </c>
    </row>
    <row r="65">
      <c r="A65" t="str">
        <v>T14</v>
      </c>
      <c r="B65" t="str">
        <v>Lọc việc làm</v>
      </c>
      <c r="C65" t="str">
        <v>Lọc job theo tiêu chí (địa điểm, lương,...)</v>
      </c>
      <c r="D65">
        <v>2</v>
      </c>
      <c r="E65">
        <v>2</v>
      </c>
      <c r="F65">
        <v>2</v>
      </c>
      <c r="G65" t="str">
        <v>New</v>
      </c>
      <c r="H65">
        <v>6</v>
      </c>
      <c r="I65" t="str">
        <v>Anh Tú</v>
      </c>
    </row>
    <row r="66">
      <c r="A66" t="str">
        <v>T15</v>
      </c>
      <c r="B66" t="str">
        <v>Đổi mật khẩu</v>
      </c>
      <c r="C66" t="str">
        <v>Thay đổi mật khẩu tài khoản</v>
      </c>
      <c r="D66">
        <v>2</v>
      </c>
      <c r="E66">
        <v>2</v>
      </c>
      <c r="F66">
        <v>2</v>
      </c>
      <c r="G66" t="str">
        <v>New</v>
      </c>
      <c r="H66">
        <v>6</v>
      </c>
      <c r="I66" t="str">
        <v>Kim Anh</v>
      </c>
    </row>
    <row r="67">
      <c r="A67" t="str">
        <v>Mục tiêu Sprint 3: Bảng điều khiển nâng cao</v>
      </c>
    </row>
    <row r="68">
      <c r="A68" t="str">
        <v>T16</v>
      </c>
      <c r="B68" t="str">
        <v xml:space="preserve">Xem danh sách ứng viên </v>
      </c>
      <c r="C68" t="str">
        <v>Xem ứng viên theo từng tin tuyển dụng</v>
      </c>
      <c r="D68">
        <v>3</v>
      </c>
      <c r="E68">
        <v>3</v>
      </c>
      <c r="F68">
        <v>3</v>
      </c>
      <c r="G68" t="str">
        <v>New</v>
      </c>
      <c r="H68">
        <v>9</v>
      </c>
      <c r="I68" t="str">
        <v>Trọng An</v>
      </c>
    </row>
    <row r="69">
      <c r="A69" t="str">
        <v>T17</v>
      </c>
      <c r="B69" t="str">
        <v>Cập nhật trạng thái ứng viên</v>
      </c>
      <c r="C69" t="str">
        <v>Cập nhật trạng thái(applied,interview,offer)</v>
      </c>
      <c r="D69">
        <v>3</v>
      </c>
      <c r="E69">
        <v>3</v>
      </c>
      <c r="F69">
        <v>3</v>
      </c>
      <c r="G69" t="str">
        <v>New</v>
      </c>
      <c r="H69">
        <v>8</v>
      </c>
      <c r="I69" t="str">
        <v>Kim Anh</v>
      </c>
    </row>
    <row r="70">
      <c r="A70" t="str">
        <v>T18</v>
      </c>
      <c r="B70" t="str">
        <v>Lên lịch phỏng vấn</v>
      </c>
      <c r="C70" t="str">
        <v>Tạo lịch phỏng vấn cho ứng viên</v>
      </c>
      <c r="D70">
        <v>3</v>
      </c>
      <c r="E70">
        <v>3</v>
      </c>
      <c r="F70">
        <v>3</v>
      </c>
      <c r="G70" t="str">
        <v>New</v>
      </c>
      <c r="H70">
        <v>10</v>
      </c>
      <c r="I70" t="str">
        <v>Anh Tú</v>
      </c>
    </row>
    <row r="71">
      <c r="A71" t="str">
        <v>T19</v>
      </c>
      <c r="B71" t="str">
        <v xml:space="preserve">Gửi thông báo </v>
      </c>
      <c r="C71" t="str">
        <v>Gửi Email/thông báo cho ứng viên</v>
      </c>
      <c r="D71">
        <v>3</v>
      </c>
      <c r="E71">
        <v>3</v>
      </c>
      <c r="F71">
        <v>3</v>
      </c>
      <c r="G71" t="str">
        <v>New</v>
      </c>
      <c r="H71">
        <v>8</v>
      </c>
      <c r="I71" t="str">
        <v>Chí Hào</v>
      </c>
    </row>
    <row r="72">
      <c r="A72" t="str">
        <v>T20</v>
      </c>
      <c r="B72" t="str">
        <v>Dashboard tuyển dịng</v>
      </c>
      <c r="C72" t="str">
        <v>Thống kê số lượng job và ứng viên</v>
      </c>
      <c r="D72">
        <v>3</v>
      </c>
      <c r="E72">
        <v>3</v>
      </c>
      <c r="F72">
        <v>3</v>
      </c>
      <c r="G72" t="str">
        <v>New</v>
      </c>
      <c r="H72">
        <v>8</v>
      </c>
      <c r="I72" t="str">
        <v>Kim Anh</v>
      </c>
    </row>
    <row r="73">
      <c r="A73" t="str">
        <v>T21</v>
      </c>
      <c r="B73" t="str">
        <v>Ghi chú ứng viên</v>
      </c>
      <c r="C73" t="str">
        <v>Lưu ghi chú khi đánh giá ứng viên</v>
      </c>
      <c r="D73">
        <v>3</v>
      </c>
      <c r="E73">
        <v>3</v>
      </c>
      <c r="F73">
        <v>3</v>
      </c>
      <c r="G73" t="str">
        <v>New</v>
      </c>
      <c r="H73">
        <v>6</v>
      </c>
      <c r="I73" t="str">
        <v>Quang Đồng</v>
      </c>
    </row>
    <row r="74">
      <c r="A74" t="str">
        <v>T22</v>
      </c>
      <c r="B74" t="str">
        <v>Lọc ứng viên</v>
      </c>
      <c r="C74" t="str">
        <v>Lọc danh sách ứng viên theo trạng thái</v>
      </c>
      <c r="D74">
        <v>3</v>
      </c>
      <c r="E74">
        <v>3</v>
      </c>
      <c r="F74">
        <v>3</v>
      </c>
      <c r="G74" t="str">
        <v>New</v>
      </c>
      <c r="H74">
        <v>6</v>
      </c>
      <c r="I74" t="str">
        <v>Trọng An</v>
      </c>
    </row>
    <row r="75">
      <c r="A75" t="str">
        <v>T23</v>
      </c>
      <c r="B75" t="str">
        <v>Danh sách tin (admin)</v>
      </c>
      <c r="C75" t="str">
        <v>Xem danh sách tất cả tin tuyển dụng</v>
      </c>
      <c r="D75">
        <v>3</v>
      </c>
      <c r="E75">
        <v>3</v>
      </c>
      <c r="F75">
        <v>3</v>
      </c>
      <c r="G75" t="str">
        <v>New</v>
      </c>
      <c r="H75">
        <v>6</v>
      </c>
      <c r="I75" t="str">
        <v>Anh Tú</v>
      </c>
    </row>
    <row r="76">
      <c r="A76" t="str">
        <v>T24</v>
      </c>
      <c r="B76" t="str">
        <v>Cập nhật tin tuyển dụng</v>
      </c>
      <c r="C76" t="str">
        <v>Chỉnh sửa nội dung bài đăng tuyển dụng</v>
      </c>
      <c r="D76">
        <v>3</v>
      </c>
      <c r="E76">
        <v>3</v>
      </c>
      <c r="F76">
        <v>3</v>
      </c>
      <c r="G76" t="str">
        <v>New</v>
      </c>
      <c r="H76">
        <v>8</v>
      </c>
      <c r="I76" t="str">
        <v>Anh Tú</v>
      </c>
    </row>
    <row r="77">
      <c r="A77" t="str">
        <v>T25</v>
      </c>
      <c r="B77" t="str">
        <v>Xóa tin tuyển dụng</v>
      </c>
      <c r="C77" t="str">
        <v>Xóa bài đăng hoặc ẩn tin tuyển dụng</v>
      </c>
      <c r="D77">
        <v>3</v>
      </c>
      <c r="E77">
        <v>3</v>
      </c>
      <c r="F77">
        <v>3</v>
      </c>
      <c r="G77" t="str">
        <v>New</v>
      </c>
      <c r="H77">
        <v>6</v>
      </c>
      <c r="I77" t="str">
        <v>Chí Hào</v>
      </c>
    </row>
    <row r="78">
      <c r="A78" t="str">
        <v>T26</v>
      </c>
      <c r="B78" t="str">
        <v>Trạng thái tin tuyển</v>
      </c>
      <c r="C78" t="str">
        <v>Cập nhật trạng thái hiển thị tin</v>
      </c>
      <c r="D78">
        <v>3</v>
      </c>
      <c r="E78">
        <v>3</v>
      </c>
      <c r="F78">
        <v>3</v>
      </c>
      <c r="G78" t="str">
        <v>New</v>
      </c>
      <c r="H78">
        <v>6</v>
      </c>
      <c r="I78" t="str">
        <v>Chí Hào</v>
      </c>
    </row>
    <row r="79">
      <c r="A79" t="str">
        <v>Mục tiêu Sprint 4: Mở rộng &amp; tích hợp hệ thống</v>
      </c>
    </row>
    <row r="80">
      <c r="A80" t="str">
        <v>T27</v>
      </c>
      <c r="B80" t="str">
        <v xml:space="preserve">Tạo người dùng </v>
      </c>
      <c r="C80" t="str">
        <v>Admin tạo tài khoản người dùng</v>
      </c>
      <c r="D80">
        <v>4</v>
      </c>
      <c r="E80">
        <v>4</v>
      </c>
      <c r="F80">
        <v>4</v>
      </c>
      <c r="G80" t="str">
        <v>New</v>
      </c>
      <c r="H80">
        <v>8</v>
      </c>
      <c r="I80" t="str">
        <v>Kim Anh</v>
      </c>
    </row>
    <row r="81">
      <c r="A81" t="str">
        <v>T28</v>
      </c>
      <c r="B81" t="str">
        <v>Cập nhật người dùng</v>
      </c>
      <c r="C81" t="str">
        <v>Chỉnh sửa thông tin tài khoản người dùng</v>
      </c>
      <c r="D81">
        <v>4</v>
      </c>
      <c r="E81">
        <v>4</v>
      </c>
      <c r="F81">
        <v>4</v>
      </c>
      <c r="G81" t="str">
        <v>New</v>
      </c>
      <c r="H81">
        <v>8</v>
      </c>
      <c r="I81" t="str">
        <v>Anh Tú</v>
      </c>
    </row>
    <row r="82">
      <c r="A82" t="str">
        <v>T29</v>
      </c>
      <c r="B82" t="str">
        <v>Xóa người dùng</v>
      </c>
      <c r="C82" t="str">
        <v>Xóa thông tin tài khoản người dùng</v>
      </c>
      <c r="D82">
        <v>4</v>
      </c>
      <c r="E82">
        <v>4</v>
      </c>
      <c r="F82">
        <v>4</v>
      </c>
      <c r="G82" t="str">
        <v>New</v>
      </c>
      <c r="H82">
        <v>6</v>
      </c>
      <c r="I82" t="str">
        <v>Chí Hào</v>
      </c>
    </row>
    <row r="83">
      <c r="A83" t="str">
        <v>T30</v>
      </c>
      <c r="B83" t="str">
        <v>Xem danh sách người dùng</v>
      </c>
      <c r="C83" t="str">
        <v xml:space="preserve">Hiển thị danh sách người dùng </v>
      </c>
      <c r="D83">
        <v>4</v>
      </c>
      <c r="E83">
        <v>4</v>
      </c>
      <c r="F83">
        <v>4</v>
      </c>
      <c r="G83" t="str">
        <v>New</v>
      </c>
      <c r="H83">
        <v>6</v>
      </c>
      <c r="I83" t="str">
        <v>Trọng An</v>
      </c>
    </row>
    <row r="84">
      <c r="A84" t="str">
        <v>T31</v>
      </c>
      <c r="B84" t="str">
        <v>Thay đổi trạng thái người dùng</v>
      </c>
      <c r="C84" t="str">
        <v>Khóa/mở tài khoản</v>
      </c>
      <c r="D84">
        <v>4</v>
      </c>
      <c r="E84">
        <v>4</v>
      </c>
      <c r="F84">
        <v>4</v>
      </c>
      <c r="G84" t="str">
        <v>New</v>
      </c>
      <c r="H84">
        <v>6</v>
      </c>
      <c r="I84" t="str">
        <v>Quang Đồng</v>
      </c>
    </row>
    <row r="85">
      <c r="A85" t="str">
        <v>T32</v>
      </c>
      <c r="B85" t="str">
        <v>Phân quyền người dùng</v>
      </c>
      <c r="C85" t="str">
        <v>Phân quyền theo role(HR, Director, PM)</v>
      </c>
      <c r="D85">
        <v>4</v>
      </c>
      <c r="E85">
        <v>4</v>
      </c>
      <c r="F85">
        <v>4</v>
      </c>
      <c r="G85" t="str">
        <v>New</v>
      </c>
      <c r="H85">
        <v>10</v>
      </c>
      <c r="I85" t="str">
        <v>Quang Đồng</v>
      </c>
    </row>
    <row r="86">
      <c r="A86" t="str">
        <v>T33</v>
      </c>
      <c r="B86" t="str">
        <v xml:space="preserve">Bảng điều khiển </v>
      </c>
      <c r="C86" t="str">
        <v>Thống kê tổng quan hệ thống</v>
      </c>
      <c r="D86">
        <v>4</v>
      </c>
      <c r="E86">
        <v>4</v>
      </c>
      <c r="F86">
        <v>4</v>
      </c>
      <c r="G86" t="str">
        <v>New</v>
      </c>
      <c r="H86">
        <v>8</v>
      </c>
      <c r="I86" t="str">
        <v>Kim Anh</v>
      </c>
    </row>
    <row r="87">
      <c r="A87" t="str">
        <v>T34</v>
      </c>
      <c r="B87" t="str">
        <v>Log hoạt động</v>
      </c>
      <c r="C87" t="str">
        <v>Lưu lại lịch sử thao tác người dùng</v>
      </c>
      <c r="D87">
        <v>4</v>
      </c>
      <c r="E87">
        <v>4</v>
      </c>
      <c r="F87">
        <v>4</v>
      </c>
      <c r="G87" t="str">
        <v>New</v>
      </c>
      <c r="H87">
        <v>8</v>
      </c>
      <c r="I87" t="str">
        <v>Chí Hào</v>
      </c>
    </row>
  </sheetData>
  <mergeCells count="11">
    <mergeCell ref="A50:J50"/>
    <mergeCell ref="A57:J57"/>
    <mergeCell ref="A67:J67"/>
    <mergeCell ref="A79:J79"/>
    <mergeCell ref="A1:J2"/>
    <mergeCell ref="A3:J3"/>
    <mergeCell ref="A5:J5"/>
    <mergeCell ref="A12:J12"/>
    <mergeCell ref="A22:J22"/>
    <mergeCell ref="A34:J34"/>
    <mergeCell ref="A48:J48"/>
  </mergeCells>
  <pageMargins left="0.7" right="0.7" top="0.75" bottom="0.75" header="0" footer="0"/>
  <ignoredErrors>
    <ignoredError numberStoredAsText="1" sqref="A1:J10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7"/>
  <sheetViews>
    <sheetView workbookViewId="0" rightToLeft="0"/>
  </sheetViews>
  <sheetData>
    <row r="1">
      <c r="A1" t="str">
        <v>Mục tiêu sản phẩm 1: Ra mắt hệ thống quản lý tuyển dụng &amp; ứng viên cho doanh nghiệp</v>
      </c>
    </row>
    <row r="2" xml:space="preserve">
      <c r="B2" t="str">
        <v>Đặc Điểm</v>
      </c>
      <c r="F2" t="str" xml:space="preserve">
        <v xml:space="preserve">Tổng UP
 (Điểm Chưa
Hiệu Chỉnh)</v>
      </c>
      <c r="G2" t="str" xml:space="preserve">
        <v xml:space="preserve">Hệ Số
Nhân
 (C)</v>
      </c>
      <c r="H2" t="str" xml:space="preserve">
        <v xml:space="preserve">AP(Điểm
 Đã Hiệu
Chỉnh)</v>
      </c>
      <c r="I2" t="str" xml:space="preserve">
        <v xml:space="preserve">ED (Khía
 Cạnh Môi
Trường)</v>
      </c>
      <c r="J2" t="str" xml:space="preserve">
        <v xml:space="preserve">PPS(=
(AP*ED)/36)</v>
      </c>
      <c r="N2" t="str">
        <v>Khía cạnh môi trường ED</v>
      </c>
    </row>
    <row r="3" xml:space="preserve">
      <c r="B3" t="str" xml:space="preserve">
        <v xml:space="preserve">Loại Tương
Tác</v>
      </c>
      <c r="C3" t="str" xml:space="preserve">
        <v xml:space="preserve">Quy Tắc
Nghiệp Vụ</v>
      </c>
      <c r="D3" t="str">
        <v>Thực Thể</v>
      </c>
      <c r="E3" t="str" xml:space="preserve">
        <v xml:space="preserve">Loại Thao
Tác Dữ Liệu</v>
      </c>
      <c r="N3" t="str">
        <v>Khía cạnh tổ chức</v>
      </c>
    </row>
    <row r="4">
      <c r="A4" t="str">
        <v>Sprint 1</v>
      </c>
      <c r="B4" t="str">
        <v>Mục tiêu Sprint 1: Hoàn thành các chức năng cơ bản</v>
      </c>
      <c r="N4" t="str">
        <v>Yếu tố</v>
      </c>
      <c r="O4" t="str">
        <v>Khoảng giá trị</v>
      </c>
    </row>
    <row r="5">
      <c r="A5" t="str">
        <v>Đăng nhập</v>
      </c>
      <c r="B5">
        <v>1</v>
      </c>
      <c r="C5">
        <v>1</v>
      </c>
      <c r="D5">
        <v>1</v>
      </c>
      <c r="E5">
        <v>1</v>
      </c>
      <c r="F5">
        <f>sum(B5:E5)</f>
        <v>4</v>
      </c>
      <c r="G5">
        <v>1</v>
      </c>
      <c r="H5">
        <f>F5*G5</f>
        <v>4</v>
      </c>
      <c r="I5">
        <v>23</v>
      </c>
      <c r="J5">
        <f>(H5*I5)/36</f>
        <v>2.555555556</v>
      </c>
      <c r="N5" t="str">
        <v xml:space="preserve">1. </v>
      </c>
      <c r="O5">
        <v>2</v>
      </c>
    </row>
    <row r="6">
      <c r="A6" t="str">
        <v>Tạo tin tuyển dụng</v>
      </c>
      <c r="B6">
        <v>2</v>
      </c>
      <c r="C6">
        <v>3</v>
      </c>
      <c r="D6">
        <v>3</v>
      </c>
      <c r="E6">
        <v>2</v>
      </c>
      <c r="F6">
        <f>sum(B6:E6)</f>
        <v>10</v>
      </c>
      <c r="G6">
        <v>1</v>
      </c>
      <c r="H6">
        <f>F6*G6</f>
        <v>10</v>
      </c>
      <c r="I6">
        <v>23</v>
      </c>
      <c r="J6">
        <f>(H6*I6)/36</f>
        <v>6.388888889</v>
      </c>
      <c r="N6" t="str">
        <v>2.</v>
      </c>
      <c r="O6">
        <v>2</v>
      </c>
    </row>
    <row r="7">
      <c r="A7" t="str">
        <v>Kích hoạt tin tuyển dụng</v>
      </c>
      <c r="B7">
        <v>1</v>
      </c>
      <c r="C7">
        <v>1</v>
      </c>
      <c r="D7">
        <v>1</v>
      </c>
      <c r="E7">
        <v>3</v>
      </c>
      <c r="F7">
        <f>sum(B7:E7)</f>
        <v>6</v>
      </c>
      <c r="G7">
        <v>1</v>
      </c>
      <c r="H7">
        <f>F7*G7</f>
        <v>6</v>
      </c>
      <c r="I7">
        <v>23</v>
      </c>
      <c r="J7">
        <f>(H7*I7)/36</f>
        <v>3.833333333</v>
      </c>
      <c r="N7" t="str">
        <v>3.</v>
      </c>
      <c r="O7">
        <v>2</v>
      </c>
    </row>
    <row r="8">
      <c r="A8" t="str">
        <v>Xem danh sách tin tuyển dụng</v>
      </c>
      <c r="B8">
        <v>1</v>
      </c>
      <c r="C8">
        <v>1</v>
      </c>
      <c r="D8">
        <v>2</v>
      </c>
      <c r="E8">
        <v>1</v>
      </c>
      <c r="F8">
        <f>sum(B8:E8)</f>
        <v>5</v>
      </c>
      <c r="G8">
        <v>1</v>
      </c>
      <c r="H8">
        <f>F8*G8</f>
        <v>5</v>
      </c>
      <c r="I8">
        <v>23</v>
      </c>
      <c r="J8">
        <f>(H8*I8)/36</f>
        <v>3.194444444</v>
      </c>
      <c r="N8" t="str">
        <v>Tổng:</v>
      </c>
      <c r="O8">
        <f>sum(O5:O7)</f>
        <v>6</v>
      </c>
    </row>
    <row r="9">
      <c r="A9" t="str">
        <v>Ứng tuyển</v>
      </c>
      <c r="B9">
        <v>3</v>
      </c>
      <c r="C9">
        <v>2</v>
      </c>
      <c r="D9">
        <v>2</v>
      </c>
      <c r="E9">
        <v>2</v>
      </c>
      <c r="F9">
        <f>sum(B9:E9)</f>
        <v>9</v>
      </c>
      <c r="G9">
        <v>1</v>
      </c>
      <c r="H9">
        <f>F9*G9</f>
        <v>9</v>
      </c>
      <c r="I9">
        <v>23</v>
      </c>
      <c r="J9">
        <f>(H9*I9)/36</f>
        <v>5.75</v>
      </c>
      <c r="N9" t="str">
        <v>Khía cạnh hạ tầng phát triển</v>
      </c>
    </row>
    <row r="10">
      <c r="A10" t="str">
        <v>Tổng</v>
      </c>
      <c r="I10">
        <f>SUM(I5:I9)</f>
        <v>115</v>
      </c>
      <c r="J10">
        <f>SUM(J5:J9)</f>
        <v>21.72222222</v>
      </c>
    </row>
    <row r="11">
      <c r="A11" t="str">
        <v>Sprint 2</v>
      </c>
      <c r="B11" t="str">
        <v>Mục tiêu Sprint 2: Quản lý ứng viên</v>
      </c>
      <c r="N11" t="str">
        <v>Yếu tố</v>
      </c>
      <c r="O11" t="str">
        <v>Khoảng giá trị</v>
      </c>
    </row>
    <row r="12">
      <c r="A12" t="str">
        <v>Đăng ký tài khoản</v>
      </c>
      <c r="B12">
        <v>2</v>
      </c>
      <c r="C12">
        <v>2</v>
      </c>
      <c r="D12">
        <v>2</v>
      </c>
      <c r="E12">
        <v>2</v>
      </c>
      <c r="F12">
        <f>SUM(B12:E12)</f>
        <v>8</v>
      </c>
      <c r="G12">
        <v>1</v>
      </c>
      <c r="H12">
        <f>F12*G12</f>
        <v>8</v>
      </c>
      <c r="I12">
        <v>23</v>
      </c>
      <c r="J12">
        <f>(H12*I12)/36</f>
        <v>5.111111111</v>
      </c>
      <c r="N12" t="str">
        <v xml:space="preserve">1. </v>
      </c>
      <c r="O12">
        <v>0</v>
      </c>
    </row>
    <row r="13">
      <c r="A13" t="str">
        <v>Cập nhật hồ sơ</v>
      </c>
      <c r="B13">
        <v>2</v>
      </c>
      <c r="C13">
        <v>2</v>
      </c>
      <c r="D13">
        <v>3</v>
      </c>
      <c r="E13">
        <v>3</v>
      </c>
      <c r="F13">
        <f>SUM(B13:E13)</f>
        <v>10</v>
      </c>
      <c r="G13">
        <v>1</v>
      </c>
      <c r="H13">
        <f>F13*G13</f>
        <v>10</v>
      </c>
      <c r="I13">
        <v>23</v>
      </c>
      <c r="J13">
        <f>(H13*I13)/36</f>
        <v>6.388888889</v>
      </c>
      <c r="N13" t="str">
        <v>2.</v>
      </c>
      <c r="O13">
        <v>0</v>
      </c>
    </row>
    <row r="14">
      <c r="A14" t="str">
        <v>Xem hồ sơ</v>
      </c>
      <c r="B14">
        <v>1</v>
      </c>
      <c r="C14">
        <v>1</v>
      </c>
      <c r="D14">
        <v>2</v>
      </c>
      <c r="E14">
        <v>1</v>
      </c>
      <c r="F14">
        <f>SUM(B14:E14)</f>
        <v>5</v>
      </c>
      <c r="G14">
        <v>1</v>
      </c>
      <c r="H14">
        <f>F14*G14</f>
        <v>5</v>
      </c>
      <c r="I14">
        <v>23</v>
      </c>
      <c r="J14">
        <f>(H14*I14)/36</f>
        <v>3.194444444</v>
      </c>
      <c r="N14" t="str">
        <v>3.</v>
      </c>
      <c r="O14">
        <v>2</v>
      </c>
    </row>
    <row r="15">
      <c r="A15" t="str">
        <v>Tải lên CV</v>
      </c>
      <c r="B15">
        <v>2</v>
      </c>
      <c r="C15">
        <v>2</v>
      </c>
      <c r="D15">
        <v>2</v>
      </c>
      <c r="E15">
        <v>2</v>
      </c>
      <c r="F15">
        <f>SUM(B15:E15)</f>
        <v>8</v>
      </c>
      <c r="G15">
        <v>1</v>
      </c>
      <c r="H15">
        <f>F15*G15</f>
        <v>8</v>
      </c>
      <c r="I15">
        <v>23</v>
      </c>
      <c r="J15">
        <f>(H15*I15)/36</f>
        <v>5.111111111</v>
      </c>
      <c r="N15" t="str">
        <v xml:space="preserve">Tổng: </v>
      </c>
      <c r="O15">
        <f>sum(O12:O14)</f>
        <v>2</v>
      </c>
    </row>
    <row r="16">
      <c r="A16" t="str">
        <v>Xem danh sách ứng tuyển</v>
      </c>
      <c r="B16">
        <v>1</v>
      </c>
      <c r="C16">
        <v>1</v>
      </c>
      <c r="D16">
        <v>2</v>
      </c>
      <c r="E16">
        <v>1</v>
      </c>
      <c r="F16">
        <f>SUM(B16:E16)</f>
        <v>5</v>
      </c>
      <c r="G16">
        <v>1</v>
      </c>
      <c r="H16">
        <f>F16*G16</f>
        <v>5</v>
      </c>
      <c r="I16">
        <v>23</v>
      </c>
      <c r="J16">
        <f>(H16*I16)/36</f>
        <v>3.194444444</v>
      </c>
      <c r="N16" t="str">
        <v>Khía cạnh nhóm</v>
      </c>
    </row>
    <row r="17">
      <c r="A17" t="str">
        <v>Hủy ứng tuyển</v>
      </c>
      <c r="B17">
        <v>2</v>
      </c>
      <c r="C17">
        <v>2</v>
      </c>
      <c r="D17">
        <v>2</v>
      </c>
      <c r="E17">
        <v>1</v>
      </c>
      <c r="F17">
        <f>SUM(B17:E17)</f>
        <v>7</v>
      </c>
      <c r="G17">
        <v>1</v>
      </c>
      <c r="H17">
        <f>F17*G17</f>
        <v>7</v>
      </c>
      <c r="I17">
        <v>23</v>
      </c>
      <c r="J17">
        <f>(H17*I17)/36</f>
        <v>4.472222222</v>
      </c>
    </row>
    <row r="18">
      <c r="A18" t="str">
        <v>Tìm kiếm việc làm</v>
      </c>
      <c r="B18">
        <v>2</v>
      </c>
      <c r="C18">
        <v>1</v>
      </c>
      <c r="D18">
        <v>2</v>
      </c>
      <c r="E18">
        <v>1</v>
      </c>
      <c r="F18">
        <f>SUM(B18:E18)</f>
        <v>6</v>
      </c>
      <c r="G18">
        <v>1</v>
      </c>
      <c r="H18">
        <f>F18*G18</f>
        <v>6</v>
      </c>
      <c r="I18">
        <v>23</v>
      </c>
      <c r="J18">
        <f>(H18*I18)/36</f>
        <v>3.833333333</v>
      </c>
    </row>
    <row r="19">
      <c r="A19" t="str">
        <v>Lọc việc làm</v>
      </c>
      <c r="B19">
        <v>2</v>
      </c>
      <c r="C19">
        <v>2</v>
      </c>
      <c r="D19">
        <v>2</v>
      </c>
      <c r="E19">
        <v>1</v>
      </c>
      <c r="F19">
        <f>SUM(B19:E19)</f>
        <v>7</v>
      </c>
      <c r="G19">
        <v>1</v>
      </c>
      <c r="H19">
        <f>F19*G19</f>
        <v>7</v>
      </c>
      <c r="I19">
        <v>23</v>
      </c>
      <c r="J19">
        <f>(H19*I19)/36</f>
        <v>4.472222222</v>
      </c>
    </row>
    <row r="20">
      <c r="A20" t="str">
        <v>Đổi mật khẩu</v>
      </c>
      <c r="B20">
        <v>2</v>
      </c>
      <c r="C20">
        <v>2</v>
      </c>
      <c r="D20">
        <v>2</v>
      </c>
      <c r="E20">
        <v>3</v>
      </c>
      <c r="F20">
        <f>SUM(B20:E20)</f>
        <v>9</v>
      </c>
      <c r="G20">
        <v>1</v>
      </c>
      <c r="H20">
        <f>F20*G20</f>
        <v>9</v>
      </c>
      <c r="I20">
        <v>23</v>
      </c>
      <c r="J20">
        <f>(H20*I20)/36</f>
        <v>5.75</v>
      </c>
    </row>
    <row r="21">
      <c r="A21" t="str">
        <v>Tổng</v>
      </c>
      <c r="I21">
        <f>SUM(I12:I16)</f>
        <v>115</v>
      </c>
      <c r="J21">
        <f>SUM(J12:J20)</f>
        <v>41.52777778</v>
      </c>
    </row>
    <row r="22">
      <c r="A22" t="str">
        <v>Sprint 3</v>
      </c>
      <c r="B22" t="str">
        <v>Mục tiêu Sprint 3: Quản lý quy trình tuyển dụng</v>
      </c>
      <c r="N22" t="str">
        <v xml:space="preserve">1. </v>
      </c>
      <c r="O22">
        <v>1</v>
      </c>
    </row>
    <row r="23">
      <c r="A23" t="str">
        <v xml:space="preserve">Xem danh sách ứng viên </v>
      </c>
      <c r="B23">
        <v>1</v>
      </c>
      <c r="C23">
        <v>1</v>
      </c>
      <c r="D23">
        <v>2</v>
      </c>
      <c r="E23">
        <v>1</v>
      </c>
      <c r="F23">
        <f>SUM(B23:E23)</f>
        <v>5</v>
      </c>
      <c r="G23">
        <v>1</v>
      </c>
      <c r="H23">
        <f>F23*G23</f>
        <v>5</v>
      </c>
      <c r="I23">
        <v>23</v>
      </c>
      <c r="J23">
        <f>(H23*I23)/36</f>
        <v>3.194444444</v>
      </c>
      <c r="N23" t="str">
        <v>2.</v>
      </c>
      <c r="O23">
        <v>2</v>
      </c>
    </row>
    <row r="24">
      <c r="A24" t="str">
        <v>Cập nhật trạng thái ứng viên</v>
      </c>
      <c r="B24">
        <v>2</v>
      </c>
      <c r="C24">
        <v>2</v>
      </c>
      <c r="D24">
        <v>2</v>
      </c>
      <c r="E24">
        <v>3</v>
      </c>
      <c r="F24">
        <f>SUM(B24:E24)</f>
        <v>9</v>
      </c>
      <c r="G24">
        <v>1</v>
      </c>
      <c r="H24">
        <f>F24*G24</f>
        <v>9</v>
      </c>
      <c r="I24">
        <v>23</v>
      </c>
      <c r="J24">
        <f>(H24*I24)/36</f>
        <v>5.75</v>
      </c>
      <c r="N24" t="str">
        <v>3.</v>
      </c>
      <c r="O24">
        <v>2</v>
      </c>
    </row>
    <row r="25">
      <c r="A25" t="str">
        <v>Lên lịch phỏng vấn</v>
      </c>
      <c r="B25">
        <v>2</v>
      </c>
      <c r="C25">
        <v>2</v>
      </c>
      <c r="D25">
        <v>2</v>
      </c>
      <c r="E25">
        <v>2</v>
      </c>
      <c r="F25">
        <f>SUM(B25:E25)</f>
        <v>8</v>
      </c>
      <c r="G25">
        <v>1</v>
      </c>
      <c r="H25">
        <f>F25*G25</f>
        <v>8</v>
      </c>
      <c r="I25">
        <v>23</v>
      </c>
      <c r="J25">
        <f>(H25*I25)/36</f>
        <v>5.111111111</v>
      </c>
      <c r="N25" t="str">
        <v>Tổng:</v>
      </c>
      <c r="O25">
        <f>sum(O22:O24)</f>
        <v>5</v>
      </c>
    </row>
    <row r="26">
      <c r="A26" t="str">
        <v xml:space="preserve">Gửi thông báo </v>
      </c>
      <c r="B26">
        <v>2</v>
      </c>
      <c r="C26">
        <v>2</v>
      </c>
      <c r="D26">
        <v>3</v>
      </c>
      <c r="E26">
        <v>2</v>
      </c>
      <c r="F26">
        <f>SUM(B26:E26)</f>
        <v>9</v>
      </c>
      <c r="G26">
        <v>1</v>
      </c>
      <c r="H26">
        <f>F26*G26</f>
        <v>9</v>
      </c>
      <c r="I26">
        <v>23</v>
      </c>
      <c r="J26">
        <f>(H26*I26)/36</f>
        <v>5.75</v>
      </c>
      <c r="N26" t="str">
        <v>Khía cạnh công nghệ</v>
      </c>
    </row>
    <row r="27">
      <c r="A27" t="str">
        <v>Dashboard tuyển dịng</v>
      </c>
      <c r="B27">
        <v>2</v>
      </c>
      <c r="C27">
        <v>1</v>
      </c>
      <c r="D27">
        <v>2</v>
      </c>
      <c r="E27">
        <v>1</v>
      </c>
      <c r="F27">
        <f>SUM(B27:E27)</f>
        <v>6</v>
      </c>
      <c r="G27">
        <v>1</v>
      </c>
      <c r="H27">
        <f>F27*G27</f>
        <v>6</v>
      </c>
      <c r="I27">
        <v>23</v>
      </c>
      <c r="J27">
        <f>(H27*I27)/36</f>
        <v>3.833333333</v>
      </c>
    </row>
    <row r="28">
      <c r="A28" t="str">
        <v>Ghi chú ứng viên</v>
      </c>
      <c r="B28">
        <v>2</v>
      </c>
      <c r="C28">
        <v>2</v>
      </c>
      <c r="D28">
        <v>2</v>
      </c>
      <c r="E28">
        <v>3</v>
      </c>
      <c r="F28">
        <f>SUM(B28:E28)</f>
        <v>9</v>
      </c>
      <c r="G28">
        <v>1</v>
      </c>
      <c r="H28">
        <f>F28*G28</f>
        <v>9</v>
      </c>
      <c r="I28">
        <v>23</v>
      </c>
      <c r="J28">
        <f>(H28*I28)/36</f>
        <v>5.75</v>
      </c>
    </row>
    <row r="29">
      <c r="A29" t="str">
        <v>Lọc ứng viên</v>
      </c>
      <c r="B29">
        <v>2</v>
      </c>
      <c r="C29">
        <v>2</v>
      </c>
      <c r="D29">
        <v>2</v>
      </c>
      <c r="E29">
        <v>1</v>
      </c>
      <c r="F29">
        <f>SUM(B29:E29)</f>
        <v>7</v>
      </c>
      <c r="G29">
        <v>1</v>
      </c>
      <c r="H29">
        <f>F29*G29</f>
        <v>7</v>
      </c>
      <c r="I29">
        <v>23</v>
      </c>
      <c r="J29">
        <f>(H29*I29)/36</f>
        <v>4.472222222</v>
      </c>
    </row>
    <row r="30">
      <c r="A30" t="str">
        <v>Xem danh sách tin tuyển dụng</v>
      </c>
      <c r="B30">
        <v>1</v>
      </c>
      <c r="C30">
        <v>1</v>
      </c>
      <c r="D30">
        <v>2</v>
      </c>
      <c r="E30">
        <v>1</v>
      </c>
      <c r="F30">
        <f>SUM(B30:E30)</f>
        <v>5</v>
      </c>
      <c r="G30">
        <v>1</v>
      </c>
      <c r="H30">
        <f>F30*G30</f>
        <v>5</v>
      </c>
      <c r="I30">
        <v>23</v>
      </c>
      <c r="J30">
        <f>(H30*I30)/36</f>
        <v>3.194444444</v>
      </c>
    </row>
    <row r="31">
      <c r="A31" t="str">
        <v>Cập nhật tin tuyển dụng</v>
      </c>
      <c r="B31">
        <v>2</v>
      </c>
      <c r="C31">
        <v>2</v>
      </c>
      <c r="D31">
        <v>2</v>
      </c>
      <c r="E31">
        <v>3</v>
      </c>
      <c r="F31">
        <f>SUM(B31:E31)</f>
        <v>9</v>
      </c>
      <c r="G31">
        <v>1</v>
      </c>
      <c r="H31">
        <f>F31*G31</f>
        <v>9</v>
      </c>
      <c r="I31">
        <v>23</v>
      </c>
      <c r="J31">
        <f>(H31*I31)/36</f>
        <v>5.75</v>
      </c>
    </row>
    <row r="32">
      <c r="A32" t="str">
        <v>Xóa tin tuyển dụng</v>
      </c>
      <c r="B32">
        <v>2</v>
      </c>
      <c r="C32">
        <v>1</v>
      </c>
      <c r="D32">
        <v>2</v>
      </c>
      <c r="E32">
        <v>1</v>
      </c>
      <c r="F32">
        <f>SUM(B32:E32)</f>
        <v>6</v>
      </c>
      <c r="G32">
        <v>1</v>
      </c>
      <c r="H32">
        <f>F32*G32</f>
        <v>6</v>
      </c>
      <c r="I32">
        <v>23</v>
      </c>
      <c r="J32">
        <f>(H32*I32)/36</f>
        <v>3.833333333</v>
      </c>
    </row>
    <row r="33">
      <c r="A33" t="str">
        <v>Cập nhật trạng thái tin tuyển dụng</v>
      </c>
      <c r="B33">
        <v>1</v>
      </c>
      <c r="C33">
        <v>1</v>
      </c>
      <c r="D33">
        <v>1</v>
      </c>
      <c r="E33">
        <v>3</v>
      </c>
      <c r="F33">
        <f>SUM(B33:E33)</f>
        <v>6</v>
      </c>
      <c r="G33">
        <v>1</v>
      </c>
      <c r="H33">
        <f>F33*G33</f>
        <v>6</v>
      </c>
      <c r="I33">
        <v>23</v>
      </c>
      <c r="J33">
        <f>(H33*I33)/36</f>
        <v>3.833333333</v>
      </c>
    </row>
    <row r="34">
      <c r="A34" t="str">
        <v>Tổng</v>
      </c>
      <c r="I34">
        <f>SUM(I23:I26)</f>
        <v>92</v>
      </c>
      <c r="J34">
        <f>SUM(J23:J33)</f>
        <v>50.47222222</v>
      </c>
    </row>
    <row r="35">
      <c r="A35" t="str">
        <v>Sprint 4</v>
      </c>
      <c r="B35" t="str">
        <v>Mục tiêu Sprint 4: Hoàn thiện hệ thống</v>
      </c>
      <c r="N35" t="str">
        <v xml:space="preserve">1. </v>
      </c>
      <c r="O35">
        <v>2</v>
      </c>
    </row>
    <row r="36">
      <c r="A36" t="str">
        <v xml:space="preserve">Tạo người dùng </v>
      </c>
      <c r="B36">
        <v>2</v>
      </c>
      <c r="C36">
        <v>3</v>
      </c>
      <c r="D36">
        <v>3</v>
      </c>
      <c r="E36">
        <v>2</v>
      </c>
      <c r="F36">
        <f>SUM(B36:E36)</f>
        <v>10</v>
      </c>
      <c r="G36">
        <v>1</v>
      </c>
      <c r="H36">
        <f>F36*G36</f>
        <v>10</v>
      </c>
      <c r="I36">
        <v>23</v>
      </c>
      <c r="J36">
        <f>(H36*I36)/36</f>
        <v>6.388888889</v>
      </c>
      <c r="N36" t="str">
        <v>2.</v>
      </c>
      <c r="O36">
        <v>0</v>
      </c>
    </row>
    <row r="37">
      <c r="A37" t="str">
        <v>Cập nhật người dùng</v>
      </c>
      <c r="B37">
        <v>2</v>
      </c>
      <c r="C37">
        <v>2</v>
      </c>
      <c r="D37">
        <v>2</v>
      </c>
      <c r="E37">
        <v>3</v>
      </c>
      <c r="F37">
        <f>SUM(B37:E37)</f>
        <v>9</v>
      </c>
      <c r="G37">
        <v>1</v>
      </c>
      <c r="H37">
        <f>F37*G37</f>
        <v>9</v>
      </c>
      <c r="I37">
        <v>23</v>
      </c>
      <c r="J37">
        <f>(H37*I37)/36</f>
        <v>5.75</v>
      </c>
      <c r="N37" t="str">
        <v>3.</v>
      </c>
      <c r="O37">
        <v>0</v>
      </c>
    </row>
    <row r="38">
      <c r="A38" t="str">
        <v>Xóa người dùng</v>
      </c>
      <c r="B38">
        <v>2</v>
      </c>
      <c r="C38">
        <v>1</v>
      </c>
      <c r="D38">
        <v>2</v>
      </c>
      <c r="E38">
        <v>1</v>
      </c>
      <c r="F38">
        <f>SUM(B38:E38)</f>
        <v>6</v>
      </c>
      <c r="G38">
        <v>1</v>
      </c>
      <c r="H38">
        <f>F38*G38</f>
        <v>6</v>
      </c>
      <c r="I38">
        <v>23</v>
      </c>
      <c r="J38">
        <f>(H38*I38)/36</f>
        <v>3.833333333</v>
      </c>
      <c r="N38" t="str">
        <v>Tổng:</v>
      </c>
      <c r="O38">
        <f>SUM(O35:O37)</f>
        <v>2</v>
      </c>
    </row>
    <row r="39">
      <c r="A39" t="str">
        <v>Xem danh sách người dùng</v>
      </c>
      <c r="B39">
        <v>1</v>
      </c>
      <c r="C39">
        <v>1</v>
      </c>
      <c r="D39">
        <v>2</v>
      </c>
      <c r="E39">
        <v>1</v>
      </c>
      <c r="F39">
        <f>SUM(B39:E39)</f>
        <v>5</v>
      </c>
      <c r="G39">
        <v>1</v>
      </c>
      <c r="H39">
        <f>F39*G39</f>
        <v>5</v>
      </c>
      <c r="I39">
        <v>23</v>
      </c>
      <c r="J39">
        <f>(H39*I39)/36</f>
        <v>3.194444444</v>
      </c>
    </row>
    <row r="40">
      <c r="A40" t="str">
        <v>Thay đổi trạng thái người dùng</v>
      </c>
      <c r="B40">
        <v>1</v>
      </c>
      <c r="C40">
        <v>1</v>
      </c>
      <c r="D40">
        <v>1</v>
      </c>
      <c r="E40">
        <v>3</v>
      </c>
      <c r="F40">
        <f>SUM(B40:E40)</f>
        <v>6</v>
      </c>
      <c r="G40">
        <v>1</v>
      </c>
      <c r="H40">
        <f>F40*G40</f>
        <v>6</v>
      </c>
      <c r="I40">
        <v>23</v>
      </c>
      <c r="J40">
        <f>(H40*I40)/36</f>
        <v>3.833333333</v>
      </c>
    </row>
    <row r="41">
      <c r="A41" t="str">
        <v>Phân quyền người dùng</v>
      </c>
      <c r="B41">
        <v>3</v>
      </c>
      <c r="C41">
        <v>3</v>
      </c>
      <c r="D41">
        <v>3</v>
      </c>
      <c r="E41">
        <v>3</v>
      </c>
      <c r="F41">
        <f>SUM(B41:E41)</f>
        <v>12</v>
      </c>
      <c r="G41">
        <v>1</v>
      </c>
      <c r="H41">
        <f>F41*G41</f>
        <v>12</v>
      </c>
      <c r="I41">
        <v>23</v>
      </c>
      <c r="J41">
        <f>(H41*I41)/36</f>
        <v>7.666666667</v>
      </c>
    </row>
    <row r="42">
      <c r="A42" t="str">
        <v xml:space="preserve">Bảng điều khiển </v>
      </c>
      <c r="B42">
        <v>2</v>
      </c>
      <c r="C42">
        <v>2</v>
      </c>
      <c r="D42">
        <v>2</v>
      </c>
      <c r="E42">
        <v>1</v>
      </c>
      <c r="F42">
        <f>SUM(B42:E42)</f>
        <v>7</v>
      </c>
      <c r="G42">
        <v>1</v>
      </c>
      <c r="H42">
        <f>F42*G42</f>
        <v>7</v>
      </c>
      <c r="I42">
        <v>23</v>
      </c>
      <c r="J42">
        <f>(H42*I42)/36</f>
        <v>4.472222222</v>
      </c>
    </row>
    <row r="43">
      <c r="A43" t="str">
        <v>Log hoạt động</v>
      </c>
      <c r="B43">
        <v>2</v>
      </c>
      <c r="C43">
        <v>1</v>
      </c>
      <c r="D43">
        <v>2</v>
      </c>
      <c r="E43">
        <v>1</v>
      </c>
      <c r="F43">
        <f>SUM(B43:E43)</f>
        <v>6</v>
      </c>
      <c r="G43">
        <v>1</v>
      </c>
      <c r="H43">
        <f>F43*G43</f>
        <v>6</v>
      </c>
      <c r="I43">
        <v>23</v>
      </c>
      <c r="J43">
        <f>(H43*I43)/36</f>
        <v>3.833333333</v>
      </c>
    </row>
    <row r="44">
      <c r="A44" t="str">
        <v>Tổng</v>
      </c>
      <c r="I44">
        <f>SUM(I36:I38)</f>
        <v>69</v>
      </c>
      <c r="J44">
        <f>SUM(J36:J38)</f>
        <v>15.97222222</v>
      </c>
      <c r="N44" t="str">
        <v>Khía cạnh quy trình</v>
      </c>
    </row>
    <row r="46">
      <c r="N46" t="str">
        <v xml:space="preserve">1. </v>
      </c>
      <c r="O46">
        <v>2</v>
      </c>
    </row>
    <row r="47">
      <c r="N47" t="str">
        <v>2.</v>
      </c>
      <c r="O47">
        <v>2</v>
      </c>
    </row>
    <row r="48">
      <c r="N48" t="str">
        <v>3.</v>
      </c>
      <c r="O48">
        <v>2</v>
      </c>
    </row>
    <row r="49">
      <c r="N49" t="str">
        <v>Tổng:</v>
      </c>
      <c r="O49">
        <f>SUM(O46:O48)</f>
        <v>6</v>
      </c>
    </row>
    <row r="50">
      <c r="A50" t="str">
        <v>Mục tiêu sản phẩm 2: Phát triển, nâng cao hệ thống, tự động hóa quy trình tuyển dụng và thuận tiện cho người dùng</v>
      </c>
      <c r="N50" t="str">
        <v>Khía cạnh nghiệp vụ</v>
      </c>
    </row>
    <row r="51" xml:space="preserve">
      <c r="B51" t="str">
        <v>Đặc Điểm</v>
      </c>
      <c r="F51" t="str" xml:space="preserve">
        <v xml:space="preserve">Tổng UP
 (Điểm Chưa
Hiệu Chỉnh)</v>
      </c>
      <c r="G51" t="str" xml:space="preserve">
        <v xml:space="preserve">Hệ Số
Nhân
 (C)</v>
      </c>
      <c r="H51" t="str" xml:space="preserve">
        <v xml:space="preserve">AP(Điểm
 Đã Hiệu
Chỉnh)</v>
      </c>
      <c r="I51" t="str" xml:space="preserve">
        <v xml:space="preserve">ED (Khía
 Cạnh Môi
Trường)</v>
      </c>
      <c r="J51" t="str" xml:space="preserve">
        <v xml:space="preserve">PPS(=
(AP*ED)/36)</v>
      </c>
    </row>
    <row r="52" xml:space="preserve">
      <c r="B52" t="str" xml:space="preserve">
        <v xml:space="preserve">Loại Tương
Tác</v>
      </c>
      <c r="C52" t="str" xml:space="preserve">
        <v xml:space="preserve">Quy Tắc
Nghiệp Vụ</v>
      </c>
      <c r="D52" t="str">
        <v>Thực Thể</v>
      </c>
      <c r="E52" t="str" xml:space="preserve">
        <v xml:space="preserve">Loại Thao
Tác Dữ Liệu</v>
      </c>
      <c r="N52" t="str">
        <v xml:space="preserve">1. </v>
      </c>
      <c r="O52">
        <v>2</v>
      </c>
    </row>
    <row r="53">
      <c r="A53" t="str">
        <v>Sprint 1</v>
      </c>
      <c r="B53" t="str">
        <v>Mục tiêu Sprint 1: Các tính năng nâng cao trải nghiệm người dùng</v>
      </c>
      <c r="N53" t="str">
        <v>2.</v>
      </c>
      <c r="O53">
        <v>0</v>
      </c>
    </row>
    <row r="54">
      <c r="A54" t="str">
        <v>Tối ưu  giao diện</v>
      </c>
      <c r="B54">
        <v>3</v>
      </c>
      <c r="C54">
        <v>2</v>
      </c>
      <c r="D54">
        <v>2</v>
      </c>
      <c r="E54">
        <v>2</v>
      </c>
      <c r="F54">
        <v>9</v>
      </c>
      <c r="G54">
        <v>1</v>
      </c>
      <c r="H54">
        <v>9</v>
      </c>
      <c r="I54">
        <v>12</v>
      </c>
      <c r="J54">
        <v>3</v>
      </c>
      <c r="N54" t="str">
        <v>3.</v>
      </c>
      <c r="O54">
        <v>0</v>
      </c>
    </row>
    <row r="55">
      <c r="A55" t="str">
        <v>Tìm kiếm nâng cao</v>
      </c>
      <c r="B55">
        <v>3</v>
      </c>
      <c r="C55">
        <v>3</v>
      </c>
      <c r="D55">
        <v>3</v>
      </c>
      <c r="E55">
        <v>3</v>
      </c>
      <c r="F55">
        <v>12</v>
      </c>
      <c r="G55">
        <v>1</v>
      </c>
      <c r="H55">
        <v>12</v>
      </c>
      <c r="I55">
        <v>12</v>
      </c>
      <c r="J55">
        <v>4</v>
      </c>
      <c r="N55" t="str">
        <v>Tổng:</v>
      </c>
      <c r="O55">
        <f>SUM(O52:O54)</f>
        <v>2</v>
      </c>
    </row>
    <row r="56">
      <c r="A56" t="str">
        <v>Cập nhật giao diện hệ thống</v>
      </c>
      <c r="B56">
        <v>2</v>
      </c>
      <c r="C56">
        <v>2</v>
      </c>
      <c r="D56">
        <v>2</v>
      </c>
      <c r="E56">
        <v>2</v>
      </c>
      <c r="F56">
        <v>8</v>
      </c>
      <c r="G56">
        <v>1</v>
      </c>
      <c r="H56">
        <v>8</v>
      </c>
      <c r="I56">
        <v>12</v>
      </c>
      <c r="J56">
        <v>2.66</v>
      </c>
      <c r="N56" t="str">
        <v>Tổng điểm ED:</v>
      </c>
      <c r="O56">
        <f>sum(O8+O15+O25+O38+O49+O55)</f>
        <v>23</v>
      </c>
      <c r="P56" t="str">
        <v>C= 1</v>
      </c>
    </row>
    <row r="57">
      <c r="A57" t="str">
        <v>Tối ưu hóa truy vấn</v>
      </c>
      <c r="B57">
        <v>2</v>
      </c>
      <c r="C57">
        <v>2</v>
      </c>
      <c r="D57">
        <v>2</v>
      </c>
      <c r="E57">
        <v>2</v>
      </c>
      <c r="F57">
        <v>8</v>
      </c>
      <c r="G57">
        <v>1</v>
      </c>
      <c r="H57">
        <v>8</v>
      </c>
      <c r="I57">
        <v>12</v>
      </c>
      <c r="J57">
        <v>2.66</v>
      </c>
    </row>
    <row r="58">
      <c r="A58" t="str">
        <v>Đồng bộ hóa dữ liệu</v>
      </c>
      <c r="B58">
        <v>3</v>
      </c>
      <c r="C58">
        <v>3</v>
      </c>
      <c r="D58">
        <v>3</v>
      </c>
      <c r="E58">
        <v>3</v>
      </c>
      <c r="F58">
        <v>12</v>
      </c>
      <c r="G58">
        <v>1</v>
      </c>
      <c r="H58">
        <v>12</v>
      </c>
      <c r="I58">
        <v>12</v>
      </c>
      <c r="J58">
        <v>4</v>
      </c>
    </row>
    <row r="59">
      <c r="A59" t="str">
        <v>Tổng</v>
      </c>
      <c r="I59">
        <f>SUM(I54:I58)</f>
        <v>60</v>
      </c>
      <c r="J59">
        <f>SUM(J54:J58)</f>
        <v>16.32</v>
      </c>
    </row>
    <row r="60">
      <c r="A60" t="str">
        <v>Sprint 2</v>
      </c>
      <c r="B60" t="str">
        <v xml:space="preserve">Mục tiêu Sprint 2: Tự động hóa quy trình tuyển dụng </v>
      </c>
    </row>
    <row r="61">
      <c r="A61" t="str">
        <v>Lọc hồ sơ ứng viên</v>
      </c>
      <c r="B61">
        <v>3</v>
      </c>
      <c r="C61">
        <v>3</v>
      </c>
      <c r="D61">
        <v>3</v>
      </c>
      <c r="E61">
        <v>2</v>
      </c>
      <c r="F61">
        <v>11</v>
      </c>
      <c r="G61">
        <v>1</v>
      </c>
      <c r="H61">
        <v>11</v>
      </c>
      <c r="I61">
        <v>12</v>
      </c>
      <c r="J61">
        <v>3.66</v>
      </c>
    </row>
    <row r="62">
      <c r="A62" t="str">
        <v>Gửi email tự động</v>
      </c>
      <c r="B62">
        <v>3</v>
      </c>
      <c r="C62">
        <v>3</v>
      </c>
      <c r="D62">
        <v>2</v>
      </c>
      <c r="E62">
        <v>2</v>
      </c>
      <c r="F62">
        <v>10</v>
      </c>
      <c r="G62">
        <v>1</v>
      </c>
      <c r="H62">
        <v>10</v>
      </c>
      <c r="I62">
        <v>12</v>
      </c>
      <c r="J62">
        <v>3.33</v>
      </c>
    </row>
    <row r="63">
      <c r="A63" t="str">
        <v>Thiết lập workflow tuyển dụng</v>
      </c>
      <c r="B63">
        <v>2</v>
      </c>
      <c r="C63">
        <v>3</v>
      </c>
      <c r="D63">
        <v>3</v>
      </c>
      <c r="E63">
        <v>2</v>
      </c>
      <c r="F63">
        <v>10</v>
      </c>
      <c r="G63">
        <v>1</v>
      </c>
      <c r="H63">
        <v>10</v>
      </c>
      <c r="I63">
        <v>12</v>
      </c>
      <c r="J63">
        <v>3.33</v>
      </c>
    </row>
    <row r="64">
      <c r="A64" t="str">
        <v>Quản lý trạng thái ứng viên</v>
      </c>
      <c r="B64">
        <v>2</v>
      </c>
      <c r="C64">
        <v>3</v>
      </c>
      <c r="D64">
        <v>2</v>
      </c>
      <c r="E64">
        <v>2</v>
      </c>
      <c r="F64">
        <v>9</v>
      </c>
      <c r="G64">
        <v>1</v>
      </c>
      <c r="H64">
        <v>9</v>
      </c>
      <c r="I64">
        <v>12</v>
      </c>
      <c r="J64">
        <v>3</v>
      </c>
    </row>
    <row r="65">
      <c r="A65" t="str">
        <v>Tự động gợi ý công việc</v>
      </c>
      <c r="B65">
        <v>3</v>
      </c>
      <c r="C65">
        <v>3</v>
      </c>
      <c r="D65">
        <v>3</v>
      </c>
      <c r="E65">
        <v>2</v>
      </c>
      <c r="F65">
        <v>11</v>
      </c>
      <c r="G65">
        <v>1</v>
      </c>
      <c r="H65">
        <v>11</v>
      </c>
      <c r="I65">
        <v>12</v>
      </c>
      <c r="J65">
        <v>3.66</v>
      </c>
    </row>
    <row r="66">
      <c r="A66" t="str">
        <v>Tổng</v>
      </c>
      <c r="I66">
        <f>SUM(I61:I65)</f>
        <v>60</v>
      </c>
      <c r="J66">
        <f>SUM(J61:J65)</f>
        <v>16.98</v>
      </c>
    </row>
    <row r="67">
      <c r="A67" t="str">
        <v>Sprint 3</v>
      </c>
      <c r="B67" t="str">
        <v>Mục tiêu Sprint 3: Bảng điều khiển nâng cao</v>
      </c>
    </row>
    <row r="68">
      <c r="A68" t="str">
        <v>Phân tích hiệu quả tuyển dụng</v>
      </c>
      <c r="B68">
        <v>3</v>
      </c>
      <c r="C68">
        <v>3</v>
      </c>
      <c r="D68">
        <v>3</v>
      </c>
      <c r="E68">
        <v>2</v>
      </c>
      <c r="F68">
        <v>11</v>
      </c>
      <c r="G68">
        <v>1</v>
      </c>
      <c r="H68">
        <v>11</v>
      </c>
      <c r="I68">
        <v>12</v>
      </c>
      <c r="J68">
        <v>3.66</v>
      </c>
    </row>
    <row r="69">
      <c r="A69" t="str">
        <v>Theo dõi hành vi người dùng</v>
      </c>
      <c r="B69">
        <v>3</v>
      </c>
      <c r="C69">
        <v>3</v>
      </c>
      <c r="D69">
        <v>3</v>
      </c>
      <c r="E69">
        <v>3</v>
      </c>
      <c r="F69">
        <v>12</v>
      </c>
      <c r="G69">
        <v>1</v>
      </c>
      <c r="H69">
        <v>12</v>
      </c>
      <c r="I69">
        <v>12</v>
      </c>
      <c r="J69">
        <v>4</v>
      </c>
    </row>
    <row r="70">
      <c r="A70" t="str">
        <v>Thống kê &amp; báo cáo dữ liệu</v>
      </c>
      <c r="B70">
        <v>2</v>
      </c>
      <c r="C70">
        <v>2</v>
      </c>
      <c r="D70">
        <v>3</v>
      </c>
      <c r="E70">
        <v>2</v>
      </c>
      <c r="F70">
        <v>9</v>
      </c>
      <c r="G70">
        <v>1</v>
      </c>
      <c r="H70">
        <v>9</v>
      </c>
      <c r="I70">
        <v>12</v>
      </c>
      <c r="J70">
        <v>3</v>
      </c>
    </row>
    <row r="71">
      <c r="A71" t="str">
        <v>Dashboard trực quan (biểu đồ)</v>
      </c>
      <c r="B71">
        <v>3</v>
      </c>
      <c r="C71">
        <v>3</v>
      </c>
      <c r="D71">
        <v>3</v>
      </c>
      <c r="E71">
        <v>2</v>
      </c>
      <c r="F71">
        <v>11</v>
      </c>
      <c r="G71">
        <v>1</v>
      </c>
      <c r="H71">
        <v>11</v>
      </c>
      <c r="I71">
        <v>12</v>
      </c>
      <c r="J71">
        <v>3.66</v>
      </c>
    </row>
    <row r="72">
      <c r="A72" t="str">
        <v>Tổng</v>
      </c>
      <c r="I72">
        <f>SUM(I68:I71)</f>
        <v>48</v>
      </c>
      <c r="J72">
        <f>SUM(J68:J71)</f>
        <v>14.32</v>
      </c>
    </row>
    <row r="73">
      <c r="A73" t="str">
        <v>Sprint 4</v>
      </c>
      <c r="B73" t="str">
        <v xml:space="preserve">Mục tiêu Sprint 4: Mở rộng &amp; tích hợp hệ thống </v>
      </c>
    </row>
    <row r="74">
      <c r="A74" t="str">
        <v>Tích hợp API</v>
      </c>
      <c r="B74">
        <v>3</v>
      </c>
      <c r="C74">
        <v>3</v>
      </c>
      <c r="D74">
        <v>3</v>
      </c>
      <c r="E74">
        <v>2</v>
      </c>
      <c r="F74">
        <v>11</v>
      </c>
      <c r="G74">
        <v>1</v>
      </c>
      <c r="H74">
        <v>11</v>
      </c>
      <c r="I74">
        <v>12</v>
      </c>
      <c r="J74">
        <v>3.66</v>
      </c>
    </row>
    <row r="75">
      <c r="A75" t="str">
        <v>Đa nền tảng</v>
      </c>
      <c r="B75">
        <v>3</v>
      </c>
      <c r="C75">
        <v>2</v>
      </c>
      <c r="D75">
        <v>2</v>
      </c>
      <c r="E75">
        <v>2</v>
      </c>
      <c r="F75">
        <v>9</v>
      </c>
      <c r="G75">
        <v>1</v>
      </c>
      <c r="H75">
        <v>9</v>
      </c>
      <c r="I75">
        <v>12</v>
      </c>
      <c r="J75">
        <v>3</v>
      </c>
    </row>
    <row r="76">
      <c r="A76" t="str">
        <v>Tối ưu hiệu năng hệ thống</v>
      </c>
      <c r="B76">
        <v>2</v>
      </c>
      <c r="C76">
        <v>2</v>
      </c>
      <c r="D76">
        <v>2</v>
      </c>
      <c r="E76">
        <v>2</v>
      </c>
      <c r="F76">
        <v>8</v>
      </c>
      <c r="G76">
        <v>1</v>
      </c>
      <c r="H76">
        <v>8</v>
      </c>
      <c r="J76">
        <v>2.66</v>
      </c>
    </row>
    <row r="77">
      <c r="A77" t="str">
        <v>Bảo mật hệ thống</v>
      </c>
      <c r="B77">
        <v>2</v>
      </c>
      <c r="C77">
        <v>3</v>
      </c>
      <c r="D77">
        <v>2</v>
      </c>
      <c r="E77">
        <v>2</v>
      </c>
      <c r="F77">
        <v>9</v>
      </c>
      <c r="G77">
        <v>1</v>
      </c>
      <c r="H77">
        <v>9</v>
      </c>
      <c r="I77">
        <v>12</v>
      </c>
      <c r="J77">
        <v>3</v>
      </c>
    </row>
    <row r="78">
      <c r="A78" t="str">
        <v>Tổng</v>
      </c>
      <c r="I78">
        <f>SUM(I74:I77)</f>
        <v>36</v>
      </c>
      <c r="J78">
        <f>SUM(J74:J77)</f>
        <v>12.32</v>
      </c>
    </row>
  </sheetData>
  <mergeCells count="27">
    <mergeCell ref="N9:O10"/>
    <mergeCell ref="N16:O21"/>
    <mergeCell ref="N26:O34"/>
    <mergeCell ref="N44:O45"/>
    <mergeCell ref="N50:O51"/>
    <mergeCell ref="A1:J1"/>
    <mergeCell ref="B2:E2"/>
    <mergeCell ref="N2:O2"/>
    <mergeCell ref="N3:O3"/>
    <mergeCell ref="B4:J4"/>
    <mergeCell ref="A10:H10"/>
    <mergeCell ref="B11:J11"/>
    <mergeCell ref="B53:J53"/>
    <mergeCell ref="A59:H59"/>
    <mergeCell ref="B60:J60"/>
    <mergeCell ref="A66:H66"/>
    <mergeCell ref="B67:J67"/>
    <mergeCell ref="A72:H72"/>
    <mergeCell ref="B73:J73"/>
    <mergeCell ref="A78:H78"/>
    <mergeCell ref="A21:H21"/>
    <mergeCell ref="B22:J22"/>
    <mergeCell ref="A34:H34"/>
    <mergeCell ref="B35:J35"/>
    <mergeCell ref="A44:H44"/>
    <mergeCell ref="A50:J50"/>
    <mergeCell ref="B51:E51"/>
  </mergeCells>
  <pageMargins left="0.7" right="0.7" top="0.75" bottom="0.75" header="0" footer="0"/>
  <ignoredErrors>
    <ignoredError numberStoredAsText="1" sqref="A1:P10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000"/>
  <sheetViews>
    <sheetView workbookViewId="0" rightToLeft="0"/>
  </sheetViews>
  <sheetData>
    <row r="1">
      <c r="A1" t="str">
        <v>Product Vision (Ghi mục tiêu)</v>
      </c>
      <c r="B1" t="str">
        <v xml:space="preserve">Trở thành hệ thống quản lý tuyển dụng &amp; ứng viên được tin dùng </v>
      </c>
    </row>
    <row r="2" xml:space="preserve">
      <c r="A2" t="str">
        <v>Product Goals (Thực hiện bao lâu - 4 tháng)</v>
      </c>
      <c r="B2" t="str" xml:space="preserve">
        <v xml:space="preserve"> - Mục tiêu sản phẩm 1: Ra mắt hệ thống quản lý tuyển dụng &amp; ứng viên cho doanh nghiệp.
 - Mục tiêu sản phẩm 2: Phát triển, nâng cao hệ thống, tự động hóa quy trình tuyển dụng và thuận tiện cho người dùng</v>
      </c>
    </row>
    <row r="3" xml:space="preserve">
      <c r="A3" t="str">
        <v>Sprint Goals (Sprint tổ chức bao nhiêu tuần - 1 sprint 14 ngày)</v>
      </c>
      <c r="B3" t="str" xml:space="preserve">
        <v xml:space="preserve">Mục tiêu sản phẩm 1: Ra mắt hệ thống quản lý tuyển dụng &amp; ứng viên cho doanh nghiệp.
      Mục tiêu Sprint 1: Các tính năng cơ bản hệ thống (tạo, duyệt tin tuyển dụng, hiển thị danh sách việc làm, ứng tuyển công việc)
      Mục tiêu Sprint 2: Các tính năng quản lý ứng viên (đăng ký, quản lý hồ sơ, xem danh sách công việc đã ứng tuyển, tải lên CV, tìm kiếm &amp; lọc)
      Mục tiêu Sprint 3: Các tính năng đáp ứng quy trình tuyển dụng (cập nhật trạng thái, lên lịch, gửi thông báo, bảng điều khiển quản lý)
      Mục tiêu Sprint 4: Hoàn thiện hệ thống phía quản trị (phân quyền, thống kê)
- Mục tiêu sản phẩm 2: Phát triển, nâng cao hệ thống, tự động hóa quy trình tuyển dụng và thuận tiện cho người dùng
      Mục tiêu Sprint 1: Các tính năng nâng cao trải nghiệm người dùng (tối ưu giao diện, tìm kiếm nâng cao)
      Mục tiêu Sprint 2: Tự động hóa quy trình tuyển dụng (lọc, gửi email tự động, thiết lập workflow tuyển dụng)
      Mục tiêu Sprint 3: Bảng điều khiển nâng cao (phân tích hiệu quả tuyển dụng, theo dõi hành vi người dùng)
      Mục tiêu Sprint 4: Mở rộng &amp; tích hợp hệ thống (tích hợp API, hỗ trợ đa nền tảng, tăng tính bảo mật &amp; hiệu năng hệ thống)</v>
      </c>
    </row>
    <row r="4">
      <c r="E4" t="str">
        <v>*</v>
      </c>
    </row>
  </sheetData>
  <pageMargins left="0.7" right="0.7" top="0.75" bottom="0.75" header="0" footer="0"/>
  <ignoredErrors>
    <ignoredError numberStoredAsText="1" sqref="A1:E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0"/>
  <sheetViews>
    <sheetView workbookViewId="0" rightToLeft="0"/>
  </sheetViews>
  <cols>
    <col min="1" max="1" width="20.83203125" customWidth="1"/>
    <col min="2" max="2" width="32.83203125" customWidth="1"/>
    <col min="3" max="3" width="55.83203125" customWidth="1"/>
    <col min="4" max="4" width="55.83203125" customWidth="1"/>
    <col min="5" max="5" width="55.83203125" customWidth="1"/>
    <col min="6" max="6" width="55.83203125" customWidth="1"/>
    <col min="7" max="7" width="55.83203125" customWidth="1"/>
    <col min="8" max="8" width="55.83203125" customWidth="1"/>
    <col min="9" max="9" width="55.83203125" customWidth="1"/>
    <col min="10" max="10" width="55.83203125" customWidth="1"/>
    <col min="11" max="11" width="55.83203125" customWidth="1"/>
  </cols>
  <sheetData>
    <row r="1" ht="22" customHeight="1">
      <c r="A1" t="str">
        <v>Name / Task</v>
      </c>
      <c r="B1" t="str">
        <v>Nội dung</v>
      </c>
      <c r="C1" t="str">
        <v>Monday (2)</v>
      </c>
      <c r="D1" t="str">
        <v>Tuesday (3)</v>
      </c>
      <c r="E1" t="str">
        <v>Wednesday (4)</v>
      </c>
      <c r="F1" t="str">
        <v>Thursday (5)</v>
      </c>
      <c r="G1" t="str">
        <v>Friday (6)</v>
      </c>
      <c r="H1" t="str">
        <v>Saturday (7)</v>
      </c>
      <c r="I1" t="str">
        <v>Sunday (8)</v>
      </c>
      <c r="J1" t="str">
        <v>Monday (9)</v>
      </c>
      <c r="K1" t="str">
        <v>Tuesday (10)</v>
      </c>
    </row>
    <row r="2" ht="60" customHeight="1">
      <c r="A2" t="str">
        <v>Mai Anh Tú</v>
      </c>
      <c r="B2" t="str">
        <v>What did you do yesterday?</v>
      </c>
      <c r="C2" t="str">
        <v>Cập nhật cấu trúc bảng dữ liệu mới.</v>
      </c>
      <c r="D2" t="str">
        <v>Đã hoàn thành bộ lọc (Filter) trang việc làm.</v>
      </c>
      <c r="E2" t="str">
        <v>Đã xong các phương thức xử lý logic CRUD Admin.</v>
      </c>
      <c r="F2" t="str">
        <v>Đã xử lý xong các lỗi PSR-4 và chuẩn PSR-3.</v>
      </c>
      <c r="G2" t="str">
        <v>Đã hoàn thành test chức năng duyệt hồ sơ.</v>
      </c>
      <c r="H2" t="str">
        <v>Đã fix lỗi xung đột (Conflict) Footer hệ thống.</v>
      </c>
      <c r="I2" t="str">
        <v>Đã soát lỗi logic trên toàn bộ trang Quản trị.</v>
      </c>
      <c r="J2" t="str">
        <v>Đã hoàn tất việc đóng gói mã nguồn tuần cũ.</v>
      </c>
      <c r="K2" t="str">
        <v>Đã xong các phương thức xử lý Offer (mẫu mời làm việc).</v>
      </c>
    </row>
    <row r="3" ht="60" customHeight="1">
      <c r="B3" t="str">
        <v>What will you work on today?</v>
      </c>
      <c r="C3" t="str">
        <v>Thực hiện xử lý logic gửi Mail cho ứng viên.</v>
      </c>
      <c r="D3" t="str">
        <v>Xử lý logic cho phần duyệt tin tuyển dụng.</v>
      </c>
      <c r="E3" t="str">
        <v>Test chức năng và kiểm tra lại validate Form.</v>
      </c>
      <c r="F3" t="str">
        <v>Tối ưu các phương thức xử lý dữ liệu bảng.</v>
      </c>
      <c r="G3" t="str">
        <v>Test chức năng phân quyền (Filament Shield).</v>
      </c>
      <c r="H3" t="str">
        <v>Kiểm tra tính bảo mật của các phương thức xử lý.</v>
      </c>
      <c r="I3" t="str">
        <v>Kiểm tra lại lần cuối và đóng gói mã nguồn.</v>
      </c>
      <c r="J3" t="str">
        <v>Thực hiện xử lý logic tạo file PDF Offer.</v>
      </c>
      <c r="K3" t="str">
        <v>Test chức năng gửi mail tự động cho ứng viên trúng tuyển.</v>
      </c>
    </row>
    <row r="4" ht="60" customHeight="1">
      <c r="B4" t="str">
        <v>Do you have any obstacles?</v>
      </c>
      <c r="C4" t="str">
        <v>Lỗi khi cấu hình Mail Server (Gmail Pass).</v>
      </c>
      <c r="D4" t="str">
        <v>Logic hiển thị trạng thái duyệt tin còn bị sai.</v>
      </c>
      <c r="E4" t="str">
        <v>Test chức năng phát hiện lỗi khi bỏ trống ô.</v>
      </c>
      <c r="F4" t="str">
        <v>Các lỗi PSR-4 gây gián đoạn khi chạy hệ thống.</v>
      </c>
      <c r="G4" t="str">
        <v>Chia role bằng Shield đôi khi bị mất quyền Admin.</v>
      </c>
      <c r="H4" t="str">
        <v>Phát sinh lỗi khi nhiều người cùng thao tác.</v>
      </c>
      <c r="I4" t="str">
        <v>Áp lực thời gian để tổng hợp báo cáo.</v>
      </c>
      <c r="J4" t="str">
        <v>Lỗi định dạng khi xuất file PDF từ dữ liệu hệ thống.</v>
      </c>
      <c r="K4" t="str">
        <v>Email gửi đi đôi khi bị rơi vào hòm thư rác (Spam).</v>
      </c>
    </row>
    <row r="5" ht="60" customHeight="1"/>
    <row r="6" ht="60" customHeight="1">
      <c r="A6" t="str">
        <v>Lê Quang Đồng</v>
      </c>
      <c r="B6" t="str">
        <v>What did you do yesterday?</v>
      </c>
      <c r="C6" t="str">
        <v>Cập nhật lại màu sắc chuẩn FPT Poly.</v>
      </c>
      <c r="D6" t="str">
        <v>Đã xong khung code giao diện Employer mới.</v>
      </c>
      <c r="E6" t="str">
        <v>Đã tích hợp hình ảnh vào các Category.</v>
      </c>
      <c r="F6" t="str">
        <v>Đã thành công xử lý logic vào giao diện.</v>
      </c>
      <c r="G6" t="str">
        <v>Đã sửa các lỗi vỡ khung trong code giao diện.</v>
      </c>
      <c r="H6" t="str">
        <v>Đã hoàn thiện các hiệu ứng hover cho nút.</v>
      </c>
      <c r="I6" t="str">
        <v>Đã kiểm tra hiển thị trên thiết bị di động.</v>
      </c>
      <c r="J6" t="str">
        <v>Đã sửa xong các lỗi vỡ khung trang chủ.</v>
      </c>
      <c r="K6" t="str">
        <v>Đã hoàn thiện giao diện các nút chức năng mới.</v>
      </c>
    </row>
    <row r="7" ht="60" customHeight="1">
      <c r="B7" t="str">
        <v>What will you work on today?</v>
      </c>
      <c r="C7" t="str">
        <v>Code giao diện chi tiết trang Nhà tuyển dụng.</v>
      </c>
      <c r="D7" t="str">
        <v>Cắt giao diện và chỉnh sửa các trang con.</v>
      </c>
      <c r="E7" t="str">
        <v>Thực hiện phương thức xử lý hiển thị dữ liệu.</v>
      </c>
      <c r="F7" t="str">
        <v>Test chức năng giao diện trang danh sách việc.</v>
      </c>
      <c r="G7" t="str">
        <v>Chỉnh sửa code giao diện (Sửa lỗi Header nhảy).</v>
      </c>
      <c r="H7" t="str">
        <v>Test chức năng hiển thị Category ngoài Client.</v>
      </c>
      <c r="I7" t="str">
        <v>Hoàn thiện toàn bộ các trang của Employer.</v>
      </c>
      <c r="J7" t="str">
        <v>Code giao diện bảng điều khiển (Dashboard) cho HR.</v>
      </c>
      <c r="K7" t="str">
        <v>Test chức năng lọc địa chỉ làm việc ngay trên giao diện.</v>
      </c>
    </row>
    <row r="8" ht="60" customHeight="1">
      <c r="B8" t="str">
        <v>Do you have any obstacles?</v>
      </c>
      <c r="C8" t="str">
        <v>Code giao diện chưa khớp với các giao diện khác.</v>
      </c>
      <c r="D8" t="str">
        <v>Tìm hình ảnh minh họa cho các danh mục khó.</v>
      </c>
      <c r="E8" t="str">
        <v>Xử lý logic hiển thị dữ liệu (Render) bị lỗi.</v>
      </c>
      <c r="F8" t="str">
        <v>Test chức năng thấy trang chủ load chậm.</v>
      </c>
      <c r="G8" t="str">
        <v>Một số phần code giao diện bị lệch trên Mobile.</v>
      </c>
      <c r="H8" t="str">
        <v>Lỗi hiển thị hình ảnh.</v>
      </c>
      <c r="I8" t="str">
        <v>Các nút bấm đôi khi không phản hồi.</v>
      </c>
      <c r="J8" t="str">
        <v>Code giao diện phần biểu đồ hiển thị chưa cân đối.</v>
      </c>
      <c r="K8" t="str">
        <v>Lỗi dữ liệu không thay đổi khi chọn bộ lọc địa chỉ.</v>
      </c>
    </row>
    <row r="9" ht="60" customHeight="1"/>
    <row r="10" ht="60" customHeight="1">
      <c r="A10" t="str">
        <v>Đặng Thị Kim Anh</v>
      </c>
      <c r="B10" t="str">
        <v>What did you do yesterday?</v>
      </c>
      <c r="C10" t="str">
        <v>Cập nhật các ô nhập liệu (Input) mới.</v>
      </c>
      <c r="D10" t="str">
        <v>Đã xong các form nhập liệu cho ứng viên.</v>
      </c>
      <c r="E10" t="str">
        <v>Đã hoàn thành các phương thức xử lý và hiển thị thông báo lỗi trên giao diện người dùng.</v>
      </c>
      <c r="F10" t="str">
        <v>Đã hoàn thiện giao diện cho các trang Admin.</v>
      </c>
      <c r="G10" t="str">
        <v>Đã hoàn thành test chức năng đăng ký/đăng nhập.</v>
      </c>
      <c r="H10" t="str">
        <v>Đã chỉnh sửa giao diện theo kết quả test.</v>
      </c>
      <c r="I10" t="str">
        <v>Đã Việt hóa toàn bộ các trang phía Client.</v>
      </c>
      <c r="J10" t="str">
        <v>Hoàn thành user icon cho giao diện Client.</v>
      </c>
      <c r="K10" t="str">
        <v>Đã xong giao diện Modal đăng ký cho ứng viên và nhà tuyển dụng.</v>
      </c>
    </row>
    <row r="11" ht="60" customHeight="1">
      <c r="B11" t="str">
        <v>What will you work on today?</v>
      </c>
      <c r="C11" t="str">
        <v>Code giao diện modal đăng ký/đăng nhập.</v>
      </c>
      <c r="D11" t="str">
        <v>Cắt giao diện và làm trang danh sách ứng viên.</v>
      </c>
      <c r="E11" t="str">
        <v>Thực hiện phương thức xử lý để hiển thị modal trên giao diện người dùng.</v>
      </c>
      <c r="F11" t="str">
        <v>Test chức năng nộp hồ sơ của ứng viên.</v>
      </c>
      <c r="G11" t="str">
        <v>Xây dựng giao diện chức năng thay đổi mật khẩu (trường nhập mật khẩu hiện tại, mới và xác nhận).</v>
      </c>
      <c r="H11" t="str">
        <v>Test chức năng và kiểm tra các liên kết (Link).</v>
      </c>
      <c r="I11" t="str">
        <v>Tạo user icon thông tin tài khoản giao diện Client.</v>
      </c>
      <c r="J11" t="str">
        <v>Code giao diện Modal đăng ký cho ứng viên và doanh nghiệp.</v>
      </c>
      <c r="K11" t="str">
        <v>Test chức năng đăng ký tài khoản qua các (Modal).</v>
      </c>
    </row>
    <row r="12" ht="60" customHeight="1">
      <c r="B12" t="str">
        <v>Do you have any obstacles?</v>
      </c>
      <c r="C12" t="str">
        <v>Chia role hiển thị menu bị chồng chéo.</v>
      </c>
      <c r="D12" t="str">
        <v>Code giao diện bộ lọc tìm kiếm nhìn bị rối.</v>
      </c>
      <c r="E12" t="str">
        <v>Phương thức xử lý chưa chặn được ký tự lạ.</v>
      </c>
      <c r="F12" t="str">
        <v>Test chức năng thấy thông báo hiện sai chỗ.</v>
      </c>
      <c r="G12" t="str">
        <v>Code giao diện trang báo lỗi nhìn còn đơn giản.</v>
      </c>
      <c r="H12" t="str">
        <v>Báo lỗi khi chuyển Link và 1 số không chuyển được.</v>
      </c>
      <c r="I12" t="str">
        <v>CSS giao diện còn gặp lỗi cấu trúc.</v>
      </c>
      <c r="J12" t="str">
        <v>Code giao diện Modal bị lỗi không tự đóng sau khi lưu.</v>
      </c>
      <c r="K12" t="str">
        <v>Lỗi hiển thị thông báo lỗi ngay trên Modal đăng ký.</v>
      </c>
    </row>
    <row r="13" ht="60" customHeight="1"/>
    <row r="14" ht="60" customHeight="1">
      <c r="A14" t="str">
        <v>Nguyễn Trọng An</v>
      </c>
      <c r="B14" t="str">
        <v>What did you do yesterday?</v>
      </c>
      <c r="C14" t="str">
        <v>Cập nhật Database cho các chi nhánh (Branch).</v>
      </c>
      <c r="D14" t="str">
        <v>Đã thực hiện xử lý logic phân quyền người dùng.</v>
      </c>
      <c r="E14" t="str">
        <v>Đã xong các phương thức xử lý login/logout.</v>
      </c>
      <c r="F14" t="str">
        <v>Đã xong các xử lý logic thống kê Dashboard.</v>
      </c>
      <c r="G14" t="str">
        <v>Đã hoàn thành test chức năng phân quyền.</v>
      </c>
      <c r="H14" t="str">
        <v>Đã tối ưu các câu lệnh xử lý logic database.</v>
      </c>
      <c r="I14" t="str">
        <v>Đã sao lưu dữ liệu (Upload CSDL lên Git).</v>
      </c>
      <c r="J14" t="str">
        <v>Đã cập nhật xong dữ liệu các chi nhánh mới.</v>
      </c>
      <c r="K14" t="str">
        <v>Đã xử lý xong phân quyền cho cấp bậc quản lý mới.</v>
      </c>
    </row>
    <row r="15" ht="60" customHeight="1">
      <c r="B15" t="str">
        <v>What will you work on today?</v>
      </c>
      <c r="C15" t="str">
        <v>Thực hiện xử lý logic phân quyền người dùng.</v>
      </c>
      <c r="D15" t="str">
        <v>Thực hiện phương thức xử lý login/logout.</v>
      </c>
      <c r="E15" t="str">
        <v>Code các phương thức xử lý logic cho Admin.</v>
      </c>
      <c r="F15" t="str">
        <v>Test chức năng hiển thị biểu đồ thống kê.</v>
      </c>
      <c r="G15" t="str">
        <v>Thực hiện logic phân quyền bằng Shield.</v>
      </c>
      <c r="H15" t="str">
        <v>Test chức năng chịu tải khi dữ liệu lớn.</v>
      </c>
      <c r="I15" t="str">
        <v>Kiểm tra tính chính xác của dữ liệu cuối tuần.</v>
      </c>
      <c r="J15" t="str">
        <v>Thực hiện phương thức xử lý phân quyền cho từng chi nhánh.</v>
      </c>
      <c r="K15" t="str">
        <v>Test chức năng lọc ứng viên theo từng chi nhánh cụ thể.</v>
      </c>
    </row>
    <row r="16" ht="60" customHeight="1">
      <c r="B16" t="str">
        <v>Do you have any obstacles?</v>
      </c>
      <c r="C16" t="str">
        <v>Phát sinh xung đột khi đồng bộ mã nguồn (khác biệt local vs máy chung).</v>
      </c>
      <c r="D16" t="str">
        <v>Xử lý phương thức login/logout chưa lấy được dữ liệu người dùng.</v>
      </c>
      <c r="E16" t="str">
        <v>Các phương thức xử lý báo cáo bị sai số.</v>
      </c>
      <c r="F16" t="str">
        <v>Test chức năng biểu đồ không nhận dữ liệu.</v>
      </c>
      <c r="G16" t="str">
        <v>Việc chia role gặp lỗi xung đột Middleware.</v>
      </c>
      <c r="H16" t="str">
        <v>Phát hiện lỗ hổng bảo mật khi chạy test.</v>
      </c>
      <c r="I16" t="str">
        <v>Lỗi khi chuyển dữ liệu báo cáo sang Excel.</v>
      </c>
      <c r="J16" t="str">
        <v>Xử lý logic phân quyền chi nhánh bị xung đột dữ liệu.</v>
      </c>
      <c r="K16" t="str">
        <v>Truy vấn dữ liệu từ nhiều chi nhánh tốn nhiều bộ nhớ.</v>
      </c>
    </row>
    <row r="17" ht="60" customHeight="1"/>
    <row r="18" ht="60" customHeight="1">
      <c r="A18" t="str">
        <v>Lâm Chí Hào</v>
      </c>
      <c r="B18" t="str">
        <v>What did you do yesterday?</v>
      </c>
      <c r="C18" t="str">
        <v>Chỉnh sửa giao diện chi tiết bài viết.</v>
      </c>
      <c r="D18" t="str">
        <v>Đã xong giao diện chi tiết công việc.</v>
      </c>
      <c r="E18" t="str">
        <v>Đã xong giao diện và hoàn thiện trang cá nhân.</v>
      </c>
      <c r="F18" t="str">
        <v>Đã xong phần hiển thị hồ sơ cá nhân (Profile).</v>
      </c>
      <c r="G18" t="str">
        <v>Đã hoàn thành test chức năng chỉnh sửa hồ sơ.</v>
      </c>
      <c r="H18" t="str">
        <v>Đã sửa xong lỗi giao diện Header và Footer.</v>
      </c>
      <c r="I18" t="str">
        <v>Đã kiểm tra lại toàn bộ trải nghiệm người dùng.</v>
      </c>
      <c r="J18" t="str">
        <v>Đã sửa xong các lỗi Icon hiển thị sai.</v>
      </c>
      <c r="K18" t="str">
        <v>Đã hoàn thiện giao diện trang thông tin công ty.</v>
      </c>
    </row>
    <row r="19" ht="60" customHeight="1">
      <c r="B19" t="str">
        <v>What will you work on today?</v>
      </c>
      <c r="C19" t="str">
        <v>Code giao diện trang tin chi tiết công việc.</v>
      </c>
      <c r="D19" t="str">
        <v>Cắt giao diện và hoàn thiện trang cá nhân.</v>
      </c>
      <c r="E19" t="str">
        <v>Thực hiện phương thức xử lý cập nhật Avatar.</v>
      </c>
      <c r="F19" t="str">
        <v>Test chức năng và sửa lỗi link các trang con.</v>
      </c>
      <c r="G19" t="str">
        <v>Tối ưu hóa các phương thức xử lý chuyển trang.</v>
      </c>
      <c r="H19" t="str">
        <v>Test chức năng xem lịch phỏng vấn Admin.</v>
      </c>
      <c r="I19" t="str">
        <v>Kiểm tra lại toàn bộ code giao diện lần cuối.</v>
      </c>
      <c r="J19" t="str">
        <v>Code giao diện phần thêm chi tiết ứng viên cho HR.</v>
      </c>
      <c r="K19" t="str">
        <v>Test chức năng hiển thị ảnh đại diện (Avatar) của ứng viên.</v>
      </c>
    </row>
    <row r="20" ht="60" customHeight="1">
      <c r="B20" t="str">
        <v>Do you have any obstacles?</v>
      </c>
      <c r="C20" t="str">
        <v>Code giao diện bị lỗi khi hiển thị bài viết dài.</v>
      </c>
      <c r="D20" t="str">
        <v>Tìm ảnh minh họa phù hợp cho About và Home còn khó khăn.</v>
      </c>
      <c r="E20" t="str">
        <v>Xử lý logic tải file bị treo khi file quá lớn.</v>
      </c>
      <c r="F20" t="str">
        <v>Test chức năng phát hiện link layout bị sai.</v>
      </c>
      <c r="G20" t="str">
        <v>Code giao diện bị tràn khi xem trên máy tính bảng.</v>
      </c>
      <c r="H20" t="str">
        <v>Các phương thức xử lý đôi khi phản hồi chậm.</v>
      </c>
      <c r="I20" t="str">
        <v>Một vài icon bị lỗi hiển thị khi chạy thực tế.</v>
      </c>
      <c r="J20" t="str">
        <v>Code giao diện phần thêm thông tin bị tràn màn hình.</v>
      </c>
      <c r="K20" t="str">
        <v>Ảnh đại diện của người dùng không hiển thị đúng kích thước.</v>
      </c>
    </row>
    <row r="21" ht="60" customHeight="1"/>
  </sheetData>
  <ignoredErrors>
    <ignoredError numberStoredAsText="1" sqref="A1:K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46"/>
  <sheetViews>
    <sheetView workbookViewId="0" rightToLeft="0"/>
  </sheetViews>
  <sheetData>
    <row r="1">
      <c r="B1" t="str">
        <v>BẢNG BÁO CÁO CÔNG VIỆC</v>
      </c>
    </row>
    <row r="3">
      <c r="B3" t="str">
        <v>Lê Quang Đồng</v>
      </c>
      <c r="C3" t="str">
        <v>Mai Anh Tú</v>
      </c>
      <c r="D3" t="str">
        <v>Lâm Chí Hào</v>
      </c>
      <c r="E3" t="str">
        <v>Nguyễn Trọng An</v>
      </c>
      <c r="F3" t="str">
        <v>Đặng Thị Kim Anh</v>
      </c>
    </row>
    <row r="4">
      <c r="A4" t="str">
        <v>WS1</v>
      </c>
      <c r="B4" t="str">
        <v>CÓ</v>
      </c>
      <c r="C4" t="str">
        <v>CÓ</v>
      </c>
      <c r="D4" t="str">
        <v>CÓ</v>
      </c>
      <c r="E4" t="str">
        <v>CÓ</v>
      </c>
      <c r="F4" t="str">
        <v>CÓ</v>
      </c>
    </row>
    <row r="5">
      <c r="A5" t="str">
        <v>WS2</v>
      </c>
      <c r="B5" t="str">
        <v>CÓ</v>
      </c>
      <c r="C5" t="str">
        <v>CÓ</v>
      </c>
      <c r="D5" t="str">
        <v>CÓ</v>
      </c>
      <c r="E5" t="str">
        <v>CÓ</v>
      </c>
      <c r="F5" t="str">
        <v>CÓ</v>
      </c>
    </row>
    <row r="6">
      <c r="A6" t="str">
        <v>WS3</v>
      </c>
      <c r="B6" t="str">
        <v>CÓ</v>
      </c>
      <c r="C6" t="str">
        <v>CÓ</v>
      </c>
      <c r="D6" t="str">
        <v>CÓ</v>
      </c>
      <c r="E6" t="str">
        <v>CÓ</v>
      </c>
      <c r="F6" t="str">
        <v>CÓ</v>
      </c>
    </row>
    <row r="7">
      <c r="A7" t="str">
        <v>WS4</v>
      </c>
      <c r="B7" t="str">
        <v>CÓ</v>
      </c>
      <c r="C7" t="str">
        <v>CÓ</v>
      </c>
      <c r="D7" t="str">
        <v>CÓ</v>
      </c>
      <c r="E7" t="str">
        <v>CÓ</v>
      </c>
      <c r="F7" t="str">
        <v>KHÔNG</v>
      </c>
    </row>
    <row r="8">
      <c r="A8" t="str">
        <v>WS5</v>
      </c>
    </row>
    <row r="9">
      <c r="A9" t="str">
        <v>WS6</v>
      </c>
    </row>
    <row r="12">
      <c r="A12" t="str">
        <v>WS1</v>
      </c>
      <c r="B12" t="str">
        <v>BIÊN BẢNG NHẬN XÉT CÁC THÀNH VIÊN BUỔI HỌP</v>
      </c>
    </row>
    <row r="13">
      <c r="A13" t="str">
        <v>TÊN THÀNH VIÊN</v>
      </c>
      <c r="B13" t="str">
        <v>CHUẨN BỊ</v>
      </c>
      <c r="E13" t="str">
        <v>LÝ DO NGHỈ HỌP</v>
      </c>
      <c r="H13" t="str">
        <v>LÝ DO NGHỈ HỌC</v>
      </c>
      <c r="K13" t="str">
        <v>ĐÓNG GÓP Ý KIẾN</v>
      </c>
      <c r="N13" t="str">
        <v>NHẬN XÉT</v>
      </c>
      <c r="O13" t="str">
        <v>TỔNG CỘNG</v>
      </c>
    </row>
    <row r="14">
      <c r="B14" t="str">
        <v>Chất lượng</v>
      </c>
      <c r="C14" t="str">
        <v>không chất lượng</v>
      </c>
      <c r="D14" t="str">
        <v>Không đầy đủ</v>
      </c>
      <c r="E14" t="str">
        <v>Chính đáng</v>
      </c>
      <c r="F14" t="str">
        <v>Ko chíng đáng</v>
      </c>
      <c r="G14" t="str">
        <v>Ko phép</v>
      </c>
      <c r="H14" t="str">
        <v>Chính đáng</v>
      </c>
      <c r="I14" t="str">
        <v>Ko chíng đáng</v>
      </c>
      <c r="J14" t="str">
        <v>Ko phép</v>
      </c>
      <c r="K14" t="str">
        <v>Tích cực</v>
      </c>
      <c r="L14" t="str">
        <v>Ít tích cực</v>
      </c>
      <c r="M14" t="str">
        <v>Ko đóng góp</v>
      </c>
    </row>
    <row r="15">
      <c r="A15" t="str">
        <v>Lê Quang Đồng</v>
      </c>
      <c r="B15">
        <v>1</v>
      </c>
      <c r="K15">
        <v>2</v>
      </c>
      <c r="O15">
        <v>3</v>
      </c>
    </row>
    <row r="16">
      <c r="A16" t="str">
        <v>Mai Anh Tú</v>
      </c>
      <c r="B16">
        <v>1</v>
      </c>
      <c r="K16">
        <v>2</v>
      </c>
      <c r="O16">
        <v>3</v>
      </c>
    </row>
    <row r="17">
      <c r="A17" t="str">
        <v>Lâm Chí Hào</v>
      </c>
      <c r="B17">
        <v>1</v>
      </c>
      <c r="K17">
        <v>2</v>
      </c>
      <c r="O17">
        <v>3</v>
      </c>
    </row>
    <row r="18">
      <c r="A18" t="str">
        <v>Nguyễn Trọng An</v>
      </c>
      <c r="B18">
        <v>1</v>
      </c>
      <c r="K18">
        <v>2</v>
      </c>
      <c r="O18">
        <v>3</v>
      </c>
    </row>
    <row r="19">
      <c r="A19" t="str">
        <v>Đặng Thị Kim Anh</v>
      </c>
      <c r="B19">
        <v>1</v>
      </c>
      <c r="K19">
        <v>2</v>
      </c>
      <c r="O19">
        <v>3</v>
      </c>
    </row>
    <row r="21">
      <c r="A21" t="str">
        <v>WS2</v>
      </c>
      <c r="B21" t="str">
        <v>BIÊN BẢNG NHẬN XÉT CÁC THÀNH VIÊN BUỔI HỌP</v>
      </c>
    </row>
    <row r="22">
      <c r="A22" t="str">
        <v>TÊN THÀNH VIÊN</v>
      </c>
      <c r="B22" t="str">
        <v>CHUẨN BỊ</v>
      </c>
      <c r="E22" t="str">
        <v>LÝ DO NGHỈ HỌP</v>
      </c>
      <c r="H22" t="str">
        <v>LÝ DO NGHỈ HỌC</v>
      </c>
      <c r="K22" t="str">
        <v>ĐÓNG GÓP Ý KIẾN</v>
      </c>
      <c r="N22" t="str">
        <v>NHẬN XÉT</v>
      </c>
      <c r="O22" t="str">
        <v>TỔNG CỘNG</v>
      </c>
    </row>
    <row r="23">
      <c r="B23" t="str">
        <v>Chất lượng</v>
      </c>
      <c r="C23" t="str">
        <v>không chất lượng</v>
      </c>
      <c r="D23" t="str">
        <v>Không đầy đủ</v>
      </c>
      <c r="E23" t="str">
        <v>Chính đáng</v>
      </c>
      <c r="F23" t="str">
        <v>Ko chíng đáng</v>
      </c>
      <c r="G23" t="str">
        <v>Ko phép</v>
      </c>
      <c r="H23" t="str">
        <v>Chính đáng</v>
      </c>
      <c r="I23" t="str">
        <v>Ko chíng đáng</v>
      </c>
      <c r="J23" t="str">
        <v>Ko phép</v>
      </c>
      <c r="K23" t="str">
        <v>Tích cực</v>
      </c>
      <c r="L23" t="str">
        <v>Ít tích cực</v>
      </c>
      <c r="M23" t="str">
        <v>Ko đóng góp</v>
      </c>
    </row>
    <row r="24">
      <c r="A24" t="str">
        <v>Lê Quang Đồng</v>
      </c>
      <c r="B24">
        <v>1</v>
      </c>
      <c r="K24">
        <v>2</v>
      </c>
      <c r="O24">
        <v>3</v>
      </c>
    </row>
    <row r="25">
      <c r="A25" t="str">
        <v>Mai Anh Tú</v>
      </c>
      <c r="B25">
        <v>1</v>
      </c>
      <c r="K25">
        <v>2</v>
      </c>
      <c r="O25">
        <v>3</v>
      </c>
    </row>
    <row r="26">
      <c r="A26" t="str">
        <v>Lâm Chí Hào</v>
      </c>
      <c r="B26">
        <v>1</v>
      </c>
      <c r="K26">
        <v>2</v>
      </c>
      <c r="O26">
        <v>3</v>
      </c>
    </row>
    <row r="27">
      <c r="A27" t="str">
        <v>Nguyễn Trọng An</v>
      </c>
      <c r="B27">
        <v>1</v>
      </c>
      <c r="K27">
        <v>2</v>
      </c>
      <c r="O27">
        <v>3</v>
      </c>
    </row>
    <row r="28">
      <c r="A28" t="str">
        <v>Đặng Thị Kim Anh</v>
      </c>
      <c r="B28">
        <v>1</v>
      </c>
      <c r="K28">
        <v>2</v>
      </c>
      <c r="O28">
        <v>3</v>
      </c>
    </row>
    <row r="30">
      <c r="A30" t="str">
        <v>WS3</v>
      </c>
      <c r="B30" t="str">
        <v>BIÊN BẢNG NHẬN XÉT CÁC THÀNH VIÊN BUỔI HỌP</v>
      </c>
    </row>
    <row r="31">
      <c r="A31" t="str">
        <v>TÊN THÀNH VIÊN</v>
      </c>
      <c r="B31" t="str">
        <v>CHUẨN BỊ</v>
      </c>
      <c r="E31" t="str">
        <v>LÝ DO NGHỈ HỌP</v>
      </c>
      <c r="H31" t="str">
        <v>LÝ DO NGHỈ HỌC</v>
      </c>
      <c r="K31" t="str">
        <v>ĐÓNG GÓP Ý KIẾN</v>
      </c>
      <c r="N31" t="str">
        <v>NHẬN XÉT</v>
      </c>
      <c r="O31" t="str">
        <v>TỔNG CỘNG</v>
      </c>
    </row>
    <row r="32">
      <c r="B32" t="str">
        <v>Chất lượng</v>
      </c>
      <c r="C32" t="str">
        <v>không chất lượng</v>
      </c>
      <c r="D32" t="str">
        <v>Không đầy đủ</v>
      </c>
      <c r="E32" t="str">
        <v>Chính đáng</v>
      </c>
      <c r="F32" t="str">
        <v>Ko chíng đáng</v>
      </c>
      <c r="G32" t="str">
        <v>Ko phép</v>
      </c>
      <c r="H32" t="str">
        <v>Chính đáng</v>
      </c>
      <c r="I32" t="str">
        <v>Ko chíng đáng</v>
      </c>
      <c r="J32" t="str">
        <v>Ko phép</v>
      </c>
      <c r="K32" t="str">
        <v>Tích cực</v>
      </c>
      <c r="L32" t="str">
        <v>Ít tích cực</v>
      </c>
      <c r="M32" t="str">
        <v>Ko đóng góp</v>
      </c>
    </row>
    <row r="33">
      <c r="A33" t="str">
        <v>Lê Quang Đồng</v>
      </c>
      <c r="B33">
        <v>1</v>
      </c>
      <c r="K33">
        <v>2</v>
      </c>
      <c r="O33">
        <v>3</v>
      </c>
    </row>
    <row r="34">
      <c r="A34" t="str">
        <v>Mai Anh Tú</v>
      </c>
      <c r="B34">
        <v>1</v>
      </c>
      <c r="K34">
        <v>2</v>
      </c>
      <c r="O34">
        <v>3</v>
      </c>
    </row>
    <row r="35">
      <c r="A35" t="str">
        <v>Lâm Chí Hào</v>
      </c>
      <c r="B35">
        <v>1</v>
      </c>
      <c r="K35">
        <v>2</v>
      </c>
      <c r="O35">
        <v>3</v>
      </c>
    </row>
    <row r="36">
      <c r="A36" t="str">
        <v>Nguyễn Trọng An</v>
      </c>
      <c r="B36">
        <v>1</v>
      </c>
      <c r="K36">
        <v>2</v>
      </c>
      <c r="O36">
        <v>3</v>
      </c>
    </row>
    <row r="37">
      <c r="A37" t="str">
        <v>Đặng Thị Kim Anh</v>
      </c>
      <c r="B37">
        <v>1</v>
      </c>
      <c r="K37">
        <v>2</v>
      </c>
      <c r="O37">
        <v>3</v>
      </c>
    </row>
    <row r="39">
      <c r="A39" t="str">
        <v>WS4</v>
      </c>
      <c r="B39" t="str">
        <v>BIÊN BẢNG NHẬN XÉT CÁC THÀNH VIÊN BUỔI HỌP</v>
      </c>
    </row>
    <row r="40">
      <c r="A40" t="str">
        <v>TÊN THÀNH VIÊN</v>
      </c>
      <c r="B40" t="str">
        <v>CHUẨN BỊ</v>
      </c>
      <c r="E40" t="str">
        <v>LÝ DO NGHỈ HỌP</v>
      </c>
      <c r="H40" t="str">
        <v>LÝ DO NGHỈ HỌC</v>
      </c>
      <c r="K40" t="str">
        <v>ĐÓNG GÓP Ý KIẾN</v>
      </c>
      <c r="N40" t="str">
        <v>NHẬN XÉT</v>
      </c>
      <c r="O40" t="str">
        <v>TỔNG CỘNG</v>
      </c>
    </row>
    <row r="41">
      <c r="B41" t="str">
        <v>Chất lượng</v>
      </c>
      <c r="C41" t="str">
        <v>không chất lượng</v>
      </c>
      <c r="D41" t="str">
        <v>Không đầy đủ</v>
      </c>
      <c r="E41" t="str">
        <v>Chính đáng</v>
      </c>
      <c r="F41" t="str">
        <v>Ko chíng đáng</v>
      </c>
      <c r="G41" t="str">
        <v>Ko phép</v>
      </c>
      <c r="H41" t="str">
        <v>Chính đáng</v>
      </c>
      <c r="I41" t="str">
        <v>Ko chíng đáng</v>
      </c>
      <c r="J41" t="str">
        <v>Ko phép</v>
      </c>
      <c r="K41" t="str">
        <v>Tích cực</v>
      </c>
      <c r="L41" t="str">
        <v>Ít tích cực</v>
      </c>
      <c r="M41" t="str">
        <v>Ko đóng góp</v>
      </c>
    </row>
    <row r="42">
      <c r="A42" t="str">
        <v>Lê Quang Đồng</v>
      </c>
      <c r="B42">
        <v>1</v>
      </c>
      <c r="K42">
        <v>2</v>
      </c>
      <c r="O42">
        <v>3</v>
      </c>
    </row>
    <row r="43">
      <c r="A43" t="str">
        <v>Mai Anh Tú</v>
      </c>
      <c r="B43">
        <v>1</v>
      </c>
      <c r="K43">
        <v>2</v>
      </c>
      <c r="O43">
        <v>3</v>
      </c>
    </row>
    <row r="44">
      <c r="A44" t="str">
        <v>Lâm Chí Hào</v>
      </c>
      <c r="B44">
        <v>1</v>
      </c>
      <c r="K44">
        <v>2</v>
      </c>
      <c r="O44">
        <v>3</v>
      </c>
    </row>
    <row r="45">
      <c r="A45" t="str">
        <v>Nguyễn Trọng An</v>
      </c>
      <c r="B45">
        <v>1</v>
      </c>
      <c r="K45">
        <v>2</v>
      </c>
      <c r="O45">
        <v>3</v>
      </c>
    </row>
    <row r="46">
      <c r="A46" t="str">
        <v>Đặng Thị Kim Anh</v>
      </c>
      <c r="E46">
        <v>0</v>
      </c>
      <c r="H46">
        <v>0</v>
      </c>
      <c r="M46">
        <v>-2</v>
      </c>
      <c r="N46" t="str">
        <v>Ko đi họp</v>
      </c>
      <c r="O46">
        <v>-2</v>
      </c>
    </row>
  </sheetData>
  <mergeCells count="33">
    <mergeCell ref="N13:N14"/>
    <mergeCell ref="O13:O14"/>
    <mergeCell ref="A13:A14"/>
    <mergeCell ref="A22:A23"/>
    <mergeCell ref="A31:A32"/>
    <mergeCell ref="A40:A41"/>
    <mergeCell ref="B1:D1"/>
    <mergeCell ref="B12:O12"/>
    <mergeCell ref="B13:D13"/>
    <mergeCell ref="E13:G13"/>
    <mergeCell ref="H13:J13"/>
    <mergeCell ref="K13:M13"/>
    <mergeCell ref="B21:O21"/>
    <mergeCell ref="B22:D22"/>
    <mergeCell ref="E22:G22"/>
    <mergeCell ref="H22:J22"/>
    <mergeCell ref="K22:M22"/>
    <mergeCell ref="N22:N23"/>
    <mergeCell ref="O22:O23"/>
    <mergeCell ref="B30:O30"/>
    <mergeCell ref="B40:D40"/>
    <mergeCell ref="E40:G40"/>
    <mergeCell ref="H40:J40"/>
    <mergeCell ref="K40:M40"/>
    <mergeCell ref="N40:N41"/>
    <mergeCell ref="O40:O41"/>
    <mergeCell ref="B31:D31"/>
    <mergeCell ref="E31:G31"/>
    <mergeCell ref="H31:J31"/>
    <mergeCell ref="K31:M31"/>
    <mergeCell ref="N31:N32"/>
    <mergeCell ref="O31:O32"/>
    <mergeCell ref="B39:O39"/>
  </mergeCells>
  <ignoredErrors>
    <ignoredError numberStoredAsText="1" sqref="A1:O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Ws4_Sprint Backlog</vt:lpstr>
      <vt:lpstr>Ws4_Story Point Sprint</vt:lpstr>
      <vt:lpstr>Ws4_Product Vision</vt:lpstr>
      <vt:lpstr>Ws4_DailyMeeting</vt:lpstr>
      <vt:lpstr>Ws4_Report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